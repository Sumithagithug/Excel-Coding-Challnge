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D:\Excel Assignments\"/>
    </mc:Choice>
  </mc:AlternateContent>
  <xr:revisionPtr revIDLastSave="0" documentId="13_ncr:1_{28C0E1C0-8BF3-40EA-B29C-DFBDAD4021C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32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2" i="2"/>
  <c r="C30" i="1"/>
  <c r="C28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  <c r="C24" i="1"/>
  <c r="G42" i="2"/>
  <c r="C22" i="1"/>
  <c r="G4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C18" i="1"/>
  <c r="C14" i="1"/>
  <c r="C12" i="1"/>
  <c r="G40" i="2"/>
  <c r="G39" i="2"/>
  <c r="C9" i="1"/>
  <c r="G38" i="2"/>
  <c r="C7" i="1"/>
  <c r="G37" i="2"/>
  <c r="C5" i="1"/>
  <c r="G3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<sst xmlns="http://schemas.openxmlformats.org/spreadsheetml/2006/main" count="170" uniqueCount="121">
  <si>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</si>
  <si>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</si>
  <si>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</si>
  <si>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</si>
  <si>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</si>
  <si>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</si>
  <si>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</si>
  <si>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</si>
  <si>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</si>
  <si>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</si>
  <si>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</si>
  <si>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</si>
  <si>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</si>
  <si>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</si>
  <si>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</si>
  <si>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</si>
  <si>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</si>
  <si>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</si>
  <si>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</si>
  <si>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</si>
  <si>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</si>
  <si>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</si>
  <si>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</si>
  <si>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</si>
  <si>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</si>
  <si>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</si>
  <si>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</si>
  <si>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</si>
  <si>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</si>
  <si>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</si>
  <si>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</si>
  <si>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</si>
  <si>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</si>
  <si>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</si>
  <si>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</si>
  <si>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</si>
  <si>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</si>
  <si>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</si>
  <si>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</si>
  <si>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</si>
  <si>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</si>
  <si>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</si>
  <si>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</si>
  <si>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</si>
  <si>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</si>
  <si>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</si>
  <si>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</si>
  <si>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</si>
  <si>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</si>
  <si>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</si>
  <si>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</si>
  <si>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</si>
  <si>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</si>
  <si>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</si>
  <si>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</si>
  <si>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</si>
  <si>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</si>
  <si>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</si>
  <si>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</si>
  <si>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</si>
  <si>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</si>
  <si>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</si>
  <si>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</si>
  <si>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</si>
  <si>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</si>
  <si>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</si>
  <si>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</si>
  <si>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</si>
  <si>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</si>
  <si>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</si>
  <si>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</si>
  <si>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</si>
  <si>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</si>
  <si>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</si>
  <si>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</si>
  <si>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</si>
  <si>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</si>
  <si>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</si>
  <si>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</si>
  <si>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</si>
  <si>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</si>
  <si>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</si>
  <si>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</si>
  <si>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</si>
  <si>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</si>
  <si>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</si>
  <si>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</si>
  <si>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</si>
  <si>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</si>
  <si>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</si>
  <si>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</si>
  <si>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</si>
  <si>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</si>
  <si>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</si>
  <si>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</si>
  <si>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</si>
  <si>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</si>
  <si>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</si>
  <si>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</si>
  <si>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</si>
  <si>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</si>
  <si>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</si>
  <si>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</si>
  <si>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</si>
  <si>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</si>
  <si>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</si>
  <si>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</si>
  <si>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</si>
  <si>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</si>
  <si>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</si>
  <si>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 Price</t>
  </si>
  <si>
    <t>Max Price</t>
  </si>
  <si>
    <t>Price Range</t>
  </si>
  <si>
    <t>Sum</t>
  </si>
  <si>
    <t>Count</t>
  </si>
  <si>
    <t>Avg</t>
  </si>
  <si>
    <t>Sumif</t>
  </si>
  <si>
    <t>Countif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</si>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</sst>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9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1" xfId="0" applyFont="1" applyBorder="1" applyAlignment="1"/>
    <xf numFmtId="0" fontId="7" fillId="0" borderId="1" xfId="0" applyFont="1" applyBorder="1" applyAlignment="1"/>
    <xf numFmtId="0" fontId="0" fillId="0" borderId="1" xfId="0" applyFont="1" applyBorder="1" applyAlignment="1"/>
    <xf numFmtId="2" fontId="8" fillId="0" borderId="1" xfId="0" applyNumberFormat="1" applyFont="1" applyBorder="1" applyAlignment="1"/>
    <xf numFmtId="2" fontId="0" fillId="4" borderId="0" xfId="0" applyNumberFormat="1" applyFont="1" applyFill="1" applyAlignment="1"/>
    <xf numFmtId="0" fontId="3" fillId="4" borderId="0" xfId="0" applyFont="1" applyFill="1"/>
    <xf numFmtId="0" fontId="0" fillId="4" borderId="0" xfId="0" applyFont="1" applyFill="1" applyAlignment="1"/>
    <xf numFmtId="0" fontId="7" fillId="0" borderId="1" xfId="0" applyFont="1" applyFill="1" applyBorder="1" applyAlignment="1"/>
    <xf numFmtId="0" fontId="6" fillId="0" borderId="2" xfId="0" applyFont="1" applyBorder="1" applyAlignment="1"/>
    <xf numFmtId="0" fontId="8" fillId="0" borderId="2" xfId="0" applyFont="1" applyBorder="1" applyAlignme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9"/>
  <sheetViews>
    <sheetView showGridLines="0" tabSelected="1" workbookViewId="0">
      <selection activeCell="G10" sqref="G10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10">
        <f>Dataset!G36</f>
        <v>10100</v>
      </c>
    </row>
    <row r="6" spans="1:3" ht="15.75" customHeight="1" x14ac:dyDescent="0.35">
      <c r="B6" s="2"/>
      <c r="C6" s="3" t="s">
        <v>3</v>
      </c>
    </row>
    <row r="7" spans="1:3" ht="15.75" customHeight="1" x14ac:dyDescent="0.35">
      <c r="B7" s="2"/>
      <c r="C7" s="10">
        <f>Dataset!G37</f>
        <v>34</v>
      </c>
    </row>
    <row r="8" spans="1:3" ht="15.75" customHeight="1" x14ac:dyDescent="0.35">
      <c r="B8" s="2"/>
      <c r="C8" s="3" t="s">
        <v>4</v>
      </c>
    </row>
    <row r="9" spans="1:3" ht="15.75" customHeight="1" x14ac:dyDescent="0.35">
      <c r="B9" s="4"/>
      <c r="C9" s="9">
        <f>Dataset!G38</f>
        <v>297.05882352941177</v>
      </c>
    </row>
    <row r="10" spans="1:3" ht="15.75" customHeight="1" x14ac:dyDescent="0.3">
      <c r="B10" s="2" t="s">
        <v>5</v>
      </c>
    </row>
    <row r="11" spans="1:3" ht="15.75" customHeight="1" x14ac:dyDescent="0.35">
      <c r="C11" s="3" t="s">
        <v>6</v>
      </c>
    </row>
    <row r="12" spans="1:3" ht="15.75" customHeight="1" x14ac:dyDescent="0.35">
      <c r="C12" s="10">
        <f>Dataset!G39</f>
        <v>30</v>
      </c>
    </row>
    <row r="13" spans="1:3" ht="15.75" customHeight="1" x14ac:dyDescent="0.35">
      <c r="C13" s="3" t="s">
        <v>7</v>
      </c>
    </row>
    <row r="14" spans="1:3" ht="15.75" customHeight="1" x14ac:dyDescent="0.35">
      <c r="B14" s="4"/>
      <c r="C14" s="11">
        <f>Dataset!G40</f>
        <v>1000</v>
      </c>
    </row>
    <row r="15" spans="1:3" ht="15.75" customHeight="1" x14ac:dyDescent="0.35">
      <c r="B15" s="4"/>
      <c r="C15" s="11"/>
    </row>
    <row r="16" spans="1:3" ht="15.75" customHeight="1" x14ac:dyDescent="0.3">
      <c r="B16" s="2" t="s">
        <v>8</v>
      </c>
    </row>
    <row r="17" spans="2:3" ht="15.75" customHeight="1" x14ac:dyDescent="0.35">
      <c r="C17" s="3" t="s">
        <v>9</v>
      </c>
    </row>
    <row r="18" spans="2:3" ht="15.75" customHeight="1" x14ac:dyDescent="0.35">
      <c r="C18" s="10" t="str">
        <f>Dataset!J1</f>
        <v>Price Range</v>
      </c>
    </row>
    <row r="19" spans="2:3" ht="15.75" customHeight="1" x14ac:dyDescent="0.35">
      <c r="B19" s="4"/>
    </row>
    <row r="20" spans="2:3" ht="15.75" customHeight="1" x14ac:dyDescent="0.3">
      <c r="B20" s="2" t="s">
        <v>10</v>
      </c>
    </row>
    <row r="21" spans="2:3" ht="15.75" customHeight="1" x14ac:dyDescent="0.35">
      <c r="C21" s="3" t="s">
        <v>11</v>
      </c>
    </row>
    <row r="22" spans="2:3" ht="15.75" customHeight="1" x14ac:dyDescent="0.35">
      <c r="C22" s="10">
        <f>Dataset!G41</f>
        <v>8050</v>
      </c>
    </row>
    <row r="23" spans="2:3" ht="15.75" customHeight="1" x14ac:dyDescent="0.35">
      <c r="C23" s="3" t="s">
        <v>12</v>
      </c>
    </row>
    <row r="24" spans="2:3" ht="15.75" customHeight="1" x14ac:dyDescent="0.35">
      <c r="C24" s="10">
        <f>Dataset!G42</f>
        <v>11</v>
      </c>
    </row>
    <row r="25" spans="2:3" ht="15.75" customHeight="1" x14ac:dyDescent="0.35">
      <c r="B25" s="4"/>
    </row>
    <row r="26" spans="2:3" ht="15.75" customHeight="1" x14ac:dyDescent="0.3">
      <c r="B26" s="2" t="s">
        <v>13</v>
      </c>
    </row>
    <row r="27" spans="2:3" ht="15.75" customHeight="1" x14ac:dyDescent="0.35">
      <c r="C27" s="3" t="s">
        <v>14</v>
      </c>
    </row>
    <row r="28" spans="2:3" ht="15.75" customHeight="1" x14ac:dyDescent="0.35">
      <c r="C28" s="10" t="str">
        <f>Dataset!B1</f>
        <v>Left</v>
      </c>
    </row>
    <row r="29" spans="2:3" ht="15.75" customHeight="1" x14ac:dyDescent="0.35">
      <c r="C29" s="3" t="s">
        <v>15</v>
      </c>
    </row>
    <row r="30" spans="2:3" ht="15.75" customHeight="1" x14ac:dyDescent="0.35">
      <c r="C30" s="10" t="str">
        <f>Dataset!C1</f>
        <v>Right</v>
      </c>
    </row>
    <row r="31" spans="2:3" ht="15.75" customHeight="1" x14ac:dyDescent="0.35">
      <c r="C31" s="3" t="s">
        <v>16</v>
      </c>
    </row>
    <row r="32" spans="2:3" ht="15.75" customHeight="1" x14ac:dyDescent="0.35">
      <c r="B32" s="4"/>
      <c r="C32" s="11" t="str">
        <f>Dataset!D1</f>
        <v>MID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D7" sqref="D7"/>
    </sheetView>
  </sheetViews>
  <sheetFormatPr defaultColWidth="12.6328125" defaultRowHeight="15" customHeight="1" x14ac:dyDescent="0.25"/>
  <cols>
    <col min="1" max="4" width="12.6328125" customWidth="1"/>
    <col min="5" max="5" width="14.08984375" customWidth="1"/>
    <col min="6" max="6" width="17.90625" bestFit="1" customWidth="1"/>
    <col min="7" max="9" width="12.6328125" customWidth="1"/>
  </cols>
  <sheetData>
    <row r="1" spans="1:10" ht="15.75" customHeight="1" x14ac:dyDescent="0.3">
      <c r="A1" s="15" t="s">
        <v>17</v>
      </c>
      <c r="B1" s="15" t="s">
        <v>118</v>
      </c>
      <c r="C1" s="15" t="s">
        <v>119</v>
      </c>
      <c r="D1" s="15" t="s">
        <v>120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112</v>
      </c>
    </row>
    <row r="2" spans="1:10" ht="15.75" customHeight="1" x14ac:dyDescent="0.25">
      <c r="A2" s="16" t="s">
        <v>23</v>
      </c>
      <c r="B2" s="16" t="str">
        <f>LEFT(A2,2)</f>
        <v>28</v>
      </c>
      <c r="C2" s="16" t="str">
        <f>RIGHT(A2,2)</f>
        <v>US</v>
      </c>
      <c r="D2" s="16" t="str">
        <f>MID(A2,4,6)</f>
        <v>JAN-US</v>
      </c>
      <c r="E2" s="16" t="s">
        <v>24</v>
      </c>
      <c r="F2" s="16" t="s">
        <v>25</v>
      </c>
      <c r="G2" s="16">
        <v>1000</v>
      </c>
      <c r="H2" s="16">
        <v>30</v>
      </c>
      <c r="I2" s="16" t="s">
        <v>26</v>
      </c>
      <c r="J2" s="16" t="str">
        <f>IF(G2&gt;=500,"High Price","Standard Price")</f>
        <v>High Price</v>
      </c>
    </row>
    <row r="3" spans="1:10" ht="15.75" customHeight="1" x14ac:dyDescent="0.25">
      <c r="A3" s="17" t="s">
        <v>27</v>
      </c>
      <c r="B3" s="17" t="str">
        <f t="shared" ref="B3:B42" si="0">LEFT(A3,2)</f>
        <v>15</v>
      </c>
      <c r="C3" s="17" t="str">
        <f t="shared" ref="C3:C42" si="1">RIGHT(A3,2)</f>
        <v>US</v>
      </c>
      <c r="D3" s="17" t="str">
        <f t="shared" ref="D3:D42" si="2">MID(A3,4,6)</f>
        <v>FEB-US</v>
      </c>
      <c r="E3" s="17" t="s">
        <v>28</v>
      </c>
      <c r="F3" s="17" t="s">
        <v>29</v>
      </c>
      <c r="G3" s="17">
        <v>80</v>
      </c>
      <c r="H3" s="17">
        <v>15</v>
      </c>
      <c r="I3" s="17" t="s">
        <v>30</v>
      </c>
      <c r="J3" s="17" t="str">
        <f t="shared" ref="J3:J35" si="3">IF(G3&gt;=500,"High Price","Standard Price")</f>
        <v>Standard Price</v>
      </c>
    </row>
    <row r="4" spans="1:10" ht="15.75" customHeight="1" x14ac:dyDescent="0.25">
      <c r="A4" s="16" t="s">
        <v>31</v>
      </c>
      <c r="B4" s="16" t="str">
        <f t="shared" si="0"/>
        <v>03</v>
      </c>
      <c r="C4" s="16" t="str">
        <f t="shared" si="1"/>
        <v>US</v>
      </c>
      <c r="D4" s="16" t="str">
        <f t="shared" si="2"/>
        <v>MAR-US</v>
      </c>
      <c r="E4" s="16" t="s">
        <v>32</v>
      </c>
      <c r="F4" s="16" t="s">
        <v>33</v>
      </c>
      <c r="G4" s="16">
        <v>130</v>
      </c>
      <c r="H4" s="16">
        <v>40</v>
      </c>
      <c r="I4" s="16" t="s">
        <v>34</v>
      </c>
      <c r="J4" s="16" t="str">
        <f t="shared" si="3"/>
        <v>Standard Price</v>
      </c>
    </row>
    <row r="5" spans="1:10" ht="15.75" customHeight="1" x14ac:dyDescent="0.25">
      <c r="A5" s="17" t="s">
        <v>35</v>
      </c>
      <c r="B5" s="17" t="str">
        <f t="shared" si="0"/>
        <v>11</v>
      </c>
      <c r="C5" s="17" t="str">
        <f t="shared" si="1"/>
        <v>US</v>
      </c>
      <c r="D5" s="17" t="str">
        <f t="shared" si="2"/>
        <v>APR-US</v>
      </c>
      <c r="E5" s="17" t="s">
        <v>36</v>
      </c>
      <c r="F5" s="17" t="s">
        <v>37</v>
      </c>
      <c r="G5" s="17">
        <v>900</v>
      </c>
      <c r="H5" s="17">
        <v>25</v>
      </c>
      <c r="I5" s="17" t="s">
        <v>26</v>
      </c>
      <c r="J5" s="17" t="str">
        <f t="shared" si="3"/>
        <v>High Price</v>
      </c>
    </row>
    <row r="6" spans="1:10" ht="15.75" customHeight="1" x14ac:dyDescent="0.25">
      <c r="A6" s="16" t="s">
        <v>38</v>
      </c>
      <c r="B6" s="16" t="str">
        <f t="shared" si="0"/>
        <v>22</v>
      </c>
      <c r="C6" s="16" t="str">
        <f t="shared" si="1"/>
        <v>US</v>
      </c>
      <c r="D6" s="16" t="str">
        <f t="shared" si="2"/>
        <v>MAY-US</v>
      </c>
      <c r="E6" s="16" t="s">
        <v>39</v>
      </c>
      <c r="F6" s="16" t="s">
        <v>40</v>
      </c>
      <c r="G6" s="16">
        <v>70</v>
      </c>
      <c r="H6" s="16">
        <v>20</v>
      </c>
      <c r="I6" s="16" t="s">
        <v>41</v>
      </c>
      <c r="J6" s="16" t="str">
        <f t="shared" si="3"/>
        <v>Standard Price</v>
      </c>
    </row>
    <row r="7" spans="1:10" ht="15.75" customHeight="1" x14ac:dyDescent="0.25">
      <c r="A7" s="17" t="s">
        <v>42</v>
      </c>
      <c r="B7" s="17" t="str">
        <f t="shared" si="0"/>
        <v>07</v>
      </c>
      <c r="C7" s="17" t="str">
        <f t="shared" si="1"/>
        <v>UK</v>
      </c>
      <c r="D7" s="17" t="str">
        <f t="shared" si="2"/>
        <v>JUN-UK</v>
      </c>
      <c r="E7" s="17" t="s">
        <v>43</v>
      </c>
      <c r="F7" s="17" t="s">
        <v>44</v>
      </c>
      <c r="G7" s="17">
        <v>200</v>
      </c>
      <c r="H7" s="17">
        <v>45</v>
      </c>
      <c r="I7" s="17" t="s">
        <v>26</v>
      </c>
      <c r="J7" s="17" t="str">
        <f t="shared" si="3"/>
        <v>Standard Price</v>
      </c>
    </row>
    <row r="8" spans="1:10" ht="15.75" customHeight="1" x14ac:dyDescent="0.25">
      <c r="A8" s="16" t="s">
        <v>45</v>
      </c>
      <c r="B8" s="16" t="str">
        <f t="shared" si="0"/>
        <v>19</v>
      </c>
      <c r="C8" s="16" t="str">
        <f t="shared" si="1"/>
        <v>UK</v>
      </c>
      <c r="D8" s="16" t="str">
        <f t="shared" si="2"/>
        <v>JUL-UK</v>
      </c>
      <c r="E8" s="16" t="s">
        <v>46</v>
      </c>
      <c r="F8" s="16" t="s">
        <v>47</v>
      </c>
      <c r="G8" s="16">
        <v>30</v>
      </c>
      <c r="H8" s="16">
        <v>5</v>
      </c>
      <c r="I8" s="16" t="s">
        <v>30</v>
      </c>
      <c r="J8" s="16" t="str">
        <f t="shared" si="3"/>
        <v>Standard Price</v>
      </c>
    </row>
    <row r="9" spans="1:10" ht="15.75" customHeight="1" x14ac:dyDescent="0.25">
      <c r="A9" s="17" t="s">
        <v>48</v>
      </c>
      <c r="B9" s="17" t="str">
        <f t="shared" si="0"/>
        <v>23</v>
      </c>
      <c r="C9" s="17" t="str">
        <f t="shared" si="1"/>
        <v>UK</v>
      </c>
      <c r="D9" s="17" t="str">
        <f t="shared" si="2"/>
        <v>AUG-UK</v>
      </c>
      <c r="E9" s="17" t="s">
        <v>49</v>
      </c>
      <c r="F9" s="17" t="s">
        <v>50</v>
      </c>
      <c r="G9" s="17">
        <v>90</v>
      </c>
      <c r="H9" s="17">
        <v>35</v>
      </c>
      <c r="I9" s="17" t="s">
        <v>34</v>
      </c>
      <c r="J9" s="17" t="str">
        <f t="shared" si="3"/>
        <v>Standard Price</v>
      </c>
    </row>
    <row r="10" spans="1:10" ht="15.75" customHeight="1" x14ac:dyDescent="0.25">
      <c r="A10" s="16" t="s">
        <v>51</v>
      </c>
      <c r="B10" s="16" t="str">
        <f t="shared" si="0"/>
        <v>05</v>
      </c>
      <c r="C10" s="16" t="str">
        <f t="shared" si="1"/>
        <v>UK</v>
      </c>
      <c r="D10" s="16" t="str">
        <f t="shared" si="2"/>
        <v>SEP-UK</v>
      </c>
      <c r="E10" s="16" t="s">
        <v>52</v>
      </c>
      <c r="F10" s="16" t="s">
        <v>53</v>
      </c>
      <c r="G10" s="16">
        <v>500</v>
      </c>
      <c r="H10" s="16">
        <v>50</v>
      </c>
      <c r="I10" s="16" t="s">
        <v>26</v>
      </c>
      <c r="J10" s="16" t="str">
        <f t="shared" si="3"/>
        <v>High Price</v>
      </c>
    </row>
    <row r="11" spans="1:10" ht="15.75" customHeight="1" x14ac:dyDescent="0.25">
      <c r="A11" s="17" t="s">
        <v>54</v>
      </c>
      <c r="B11" s="17" t="str">
        <f t="shared" si="0"/>
        <v>14</v>
      </c>
      <c r="C11" s="17" t="str">
        <f t="shared" si="1"/>
        <v>UK</v>
      </c>
      <c r="D11" s="17" t="str">
        <f t="shared" si="2"/>
        <v>OCT-UK</v>
      </c>
      <c r="E11" s="17" t="s">
        <v>55</v>
      </c>
      <c r="F11" s="17" t="s">
        <v>56</v>
      </c>
      <c r="G11" s="17">
        <v>130</v>
      </c>
      <c r="H11" s="17">
        <v>10</v>
      </c>
      <c r="I11" s="17" t="s">
        <v>41</v>
      </c>
      <c r="J11" s="17" t="str">
        <f t="shared" si="3"/>
        <v>Standard Price</v>
      </c>
    </row>
    <row r="12" spans="1:10" ht="15.75" customHeight="1" x14ac:dyDescent="0.25">
      <c r="A12" s="16" t="s">
        <v>57</v>
      </c>
      <c r="B12" s="16" t="str">
        <f t="shared" si="0"/>
        <v>17</v>
      </c>
      <c r="C12" s="16" t="str">
        <f t="shared" si="1"/>
        <v>IN</v>
      </c>
      <c r="D12" s="16" t="str">
        <f t="shared" si="2"/>
        <v>JUN-IN</v>
      </c>
      <c r="E12" s="16" t="s">
        <v>24</v>
      </c>
      <c r="F12" s="16" t="s">
        <v>58</v>
      </c>
      <c r="G12" s="16">
        <v>950</v>
      </c>
      <c r="H12" s="16">
        <v>25</v>
      </c>
      <c r="I12" s="16" t="s">
        <v>26</v>
      </c>
      <c r="J12" s="16" t="str">
        <f t="shared" si="3"/>
        <v>High Price</v>
      </c>
    </row>
    <row r="13" spans="1:10" ht="15.75" customHeight="1" x14ac:dyDescent="0.25">
      <c r="A13" s="17" t="s">
        <v>59</v>
      </c>
      <c r="B13" s="17" t="str">
        <f t="shared" si="0"/>
        <v>25</v>
      </c>
      <c r="C13" s="17" t="str">
        <f t="shared" si="1"/>
        <v>AU</v>
      </c>
      <c r="D13" s="17" t="str">
        <f t="shared" si="2"/>
        <v>NOV-AU</v>
      </c>
      <c r="E13" s="17" t="s">
        <v>28</v>
      </c>
      <c r="F13" s="17" t="s">
        <v>47</v>
      </c>
      <c r="G13" s="17">
        <v>90</v>
      </c>
      <c r="H13" s="17">
        <v>40</v>
      </c>
      <c r="I13" s="17" t="s">
        <v>30</v>
      </c>
      <c r="J13" s="17" t="str">
        <f t="shared" si="3"/>
        <v>Standard Price</v>
      </c>
    </row>
    <row r="14" spans="1:10" ht="15.75" customHeight="1" x14ac:dyDescent="0.25">
      <c r="A14" s="16" t="s">
        <v>60</v>
      </c>
      <c r="B14" s="16" t="str">
        <f t="shared" si="0"/>
        <v>08</v>
      </c>
      <c r="C14" s="16" t="str">
        <f t="shared" si="1"/>
        <v>DE</v>
      </c>
      <c r="D14" s="16" t="str">
        <f t="shared" si="2"/>
        <v>DEC-DE</v>
      </c>
      <c r="E14" s="16" t="s">
        <v>32</v>
      </c>
      <c r="F14" s="16" t="s">
        <v>61</v>
      </c>
      <c r="G14" s="16">
        <v>120</v>
      </c>
      <c r="H14" s="16">
        <v>35</v>
      </c>
      <c r="I14" s="16" t="s">
        <v>34</v>
      </c>
      <c r="J14" s="16" t="str">
        <f t="shared" si="3"/>
        <v>Standard Price</v>
      </c>
    </row>
    <row r="15" spans="1:10" ht="15.75" customHeight="1" x14ac:dyDescent="0.25">
      <c r="A15" s="17" t="s">
        <v>62</v>
      </c>
      <c r="B15" s="17" t="str">
        <f t="shared" si="0"/>
        <v>18</v>
      </c>
      <c r="C15" s="17" t="str">
        <f t="shared" si="1"/>
        <v>CA</v>
      </c>
      <c r="D15" s="17" t="str">
        <f t="shared" si="2"/>
        <v>FEB-CA</v>
      </c>
      <c r="E15" s="17" t="s">
        <v>63</v>
      </c>
      <c r="F15" s="17" t="s">
        <v>64</v>
      </c>
      <c r="G15" s="17">
        <v>150</v>
      </c>
      <c r="H15" s="17">
        <v>15</v>
      </c>
      <c r="I15" s="17" t="s">
        <v>26</v>
      </c>
      <c r="J15" s="17" t="str">
        <f t="shared" si="3"/>
        <v>Standard Price</v>
      </c>
    </row>
    <row r="16" spans="1:10" ht="15.75" customHeight="1" x14ac:dyDescent="0.25">
      <c r="A16" s="16" t="s">
        <v>65</v>
      </c>
      <c r="B16" s="16" t="str">
        <f t="shared" si="0"/>
        <v>16</v>
      </c>
      <c r="C16" s="16" t="str">
        <f t="shared" si="1"/>
        <v>ES</v>
      </c>
      <c r="D16" s="16" t="str">
        <f t="shared" si="2"/>
        <v>APR-ES</v>
      </c>
      <c r="E16" s="16" t="s">
        <v>43</v>
      </c>
      <c r="F16" s="16" t="s">
        <v>66</v>
      </c>
      <c r="G16" s="16">
        <v>250</v>
      </c>
      <c r="H16" s="16">
        <v>20</v>
      </c>
      <c r="I16" s="16" t="s">
        <v>26</v>
      </c>
      <c r="J16" s="16" t="str">
        <f t="shared" si="3"/>
        <v>Standard Price</v>
      </c>
    </row>
    <row r="17" spans="1:10" ht="15.75" customHeight="1" x14ac:dyDescent="0.25">
      <c r="A17" s="17" t="s">
        <v>67</v>
      </c>
      <c r="B17" s="17" t="str">
        <f t="shared" si="0"/>
        <v>21</v>
      </c>
      <c r="C17" s="17" t="str">
        <f t="shared" si="1"/>
        <v>CA</v>
      </c>
      <c r="D17" s="17" t="str">
        <f t="shared" si="2"/>
        <v>AUG-CA</v>
      </c>
      <c r="E17" s="17" t="s">
        <v>68</v>
      </c>
      <c r="F17" s="17" t="s">
        <v>69</v>
      </c>
      <c r="G17" s="17">
        <v>50</v>
      </c>
      <c r="H17" s="17">
        <v>35</v>
      </c>
      <c r="I17" s="17" t="s">
        <v>70</v>
      </c>
      <c r="J17" s="17" t="str">
        <f t="shared" si="3"/>
        <v>Standard Price</v>
      </c>
    </row>
    <row r="18" spans="1:10" ht="15.75" customHeight="1" x14ac:dyDescent="0.25">
      <c r="A18" s="16" t="s">
        <v>71</v>
      </c>
      <c r="B18" s="16" t="str">
        <f t="shared" si="0"/>
        <v>20</v>
      </c>
      <c r="C18" s="16" t="str">
        <f t="shared" si="1"/>
        <v>CN</v>
      </c>
      <c r="D18" s="16" t="str">
        <f t="shared" si="2"/>
        <v>AUG-CN</v>
      </c>
      <c r="E18" s="16" t="s">
        <v>63</v>
      </c>
      <c r="F18" s="16" t="s">
        <v>72</v>
      </c>
      <c r="G18" s="16">
        <v>160</v>
      </c>
      <c r="H18" s="16">
        <v>15</v>
      </c>
      <c r="I18" s="16" t="s">
        <v>26</v>
      </c>
      <c r="J18" s="16" t="str">
        <f t="shared" si="3"/>
        <v>Standard Price</v>
      </c>
    </row>
    <row r="19" spans="1:10" ht="15.75" customHeight="1" x14ac:dyDescent="0.25">
      <c r="A19" s="17" t="s">
        <v>73</v>
      </c>
      <c r="B19" s="17" t="str">
        <f t="shared" si="0"/>
        <v>27</v>
      </c>
      <c r="C19" s="17" t="str">
        <f t="shared" si="1"/>
        <v>IT</v>
      </c>
      <c r="D19" s="17" t="str">
        <f t="shared" si="2"/>
        <v>JAN-IT</v>
      </c>
      <c r="E19" s="17" t="s">
        <v>24</v>
      </c>
      <c r="F19" s="17" t="s">
        <v>74</v>
      </c>
      <c r="G19" s="17">
        <v>980</v>
      </c>
      <c r="H19" s="17">
        <v>10</v>
      </c>
      <c r="I19" s="17" t="s">
        <v>26</v>
      </c>
      <c r="J19" s="17" t="str">
        <f t="shared" si="3"/>
        <v>High Price</v>
      </c>
    </row>
    <row r="20" spans="1:10" ht="15.75" customHeight="1" x14ac:dyDescent="0.25">
      <c r="A20" s="16" t="s">
        <v>75</v>
      </c>
      <c r="B20" s="16" t="str">
        <f t="shared" si="0"/>
        <v>01</v>
      </c>
      <c r="C20" s="16" t="str">
        <f t="shared" si="1"/>
        <v>UK</v>
      </c>
      <c r="D20" s="16" t="str">
        <f t="shared" si="2"/>
        <v>MAR-UK</v>
      </c>
      <c r="E20" s="16" t="s">
        <v>76</v>
      </c>
      <c r="F20" s="16" t="s">
        <v>77</v>
      </c>
      <c r="G20" s="16">
        <v>150</v>
      </c>
      <c r="H20" s="16">
        <v>15</v>
      </c>
      <c r="I20" s="16" t="s">
        <v>30</v>
      </c>
      <c r="J20" s="16" t="str">
        <f t="shared" si="3"/>
        <v>Standard Price</v>
      </c>
    </row>
    <row r="21" spans="1:10" ht="15.75" customHeight="1" x14ac:dyDescent="0.25">
      <c r="A21" s="17" t="s">
        <v>78</v>
      </c>
      <c r="B21" s="17" t="str">
        <f t="shared" si="0"/>
        <v>14</v>
      </c>
      <c r="C21" s="17" t="str">
        <f t="shared" si="1"/>
        <v>US</v>
      </c>
      <c r="D21" s="17" t="str">
        <f t="shared" si="2"/>
        <v>AUG-US</v>
      </c>
      <c r="E21" s="17" t="s">
        <v>79</v>
      </c>
      <c r="F21" s="17" t="s">
        <v>80</v>
      </c>
      <c r="G21" s="17">
        <v>200</v>
      </c>
      <c r="H21" s="17">
        <v>10</v>
      </c>
      <c r="I21" s="17" t="s">
        <v>41</v>
      </c>
      <c r="J21" s="17" t="str">
        <f t="shared" si="3"/>
        <v>Standard Price</v>
      </c>
    </row>
    <row r="22" spans="1:10" ht="15.75" customHeight="1" x14ac:dyDescent="0.25">
      <c r="A22" s="16" t="s">
        <v>81</v>
      </c>
      <c r="B22" s="16" t="str">
        <f t="shared" si="0"/>
        <v>14</v>
      </c>
      <c r="C22" s="16" t="str">
        <f t="shared" si="1"/>
        <v>RU</v>
      </c>
      <c r="D22" s="16" t="str">
        <f t="shared" si="2"/>
        <v>MAY-RU</v>
      </c>
      <c r="E22" s="16" t="s">
        <v>82</v>
      </c>
      <c r="F22" s="16" t="s">
        <v>83</v>
      </c>
      <c r="G22" s="16">
        <v>700</v>
      </c>
      <c r="H22" s="16">
        <v>50</v>
      </c>
      <c r="I22" s="16" t="s">
        <v>26</v>
      </c>
      <c r="J22" s="16" t="str">
        <f t="shared" si="3"/>
        <v>High Price</v>
      </c>
    </row>
    <row r="23" spans="1:10" ht="15.75" customHeight="1" x14ac:dyDescent="0.25">
      <c r="A23" s="17" t="s">
        <v>84</v>
      </c>
      <c r="B23" s="17" t="str">
        <f t="shared" si="0"/>
        <v>09</v>
      </c>
      <c r="C23" s="17" t="str">
        <f t="shared" si="1"/>
        <v>CA</v>
      </c>
      <c r="D23" s="17" t="str">
        <f t="shared" si="2"/>
        <v>JAN-CA</v>
      </c>
      <c r="E23" s="17" t="s">
        <v>85</v>
      </c>
      <c r="F23" s="17" t="s">
        <v>86</v>
      </c>
      <c r="G23" s="17">
        <v>80</v>
      </c>
      <c r="H23" s="17">
        <v>20</v>
      </c>
      <c r="I23" s="17" t="s">
        <v>34</v>
      </c>
      <c r="J23" s="17" t="str">
        <f t="shared" si="3"/>
        <v>Standard Price</v>
      </c>
    </row>
    <row r="24" spans="1:10" ht="15.75" customHeight="1" x14ac:dyDescent="0.25">
      <c r="A24" s="16" t="s">
        <v>87</v>
      </c>
      <c r="B24" s="16" t="str">
        <f t="shared" si="0"/>
        <v>19</v>
      </c>
      <c r="C24" s="16" t="str">
        <f t="shared" si="1"/>
        <v>BR</v>
      </c>
      <c r="D24" s="16" t="str">
        <f t="shared" si="2"/>
        <v>JUL-BR</v>
      </c>
      <c r="E24" s="16" t="s">
        <v>88</v>
      </c>
      <c r="F24" s="16" t="s">
        <v>89</v>
      </c>
      <c r="G24" s="16">
        <v>150</v>
      </c>
      <c r="H24" s="16">
        <v>30</v>
      </c>
      <c r="I24" s="16" t="s">
        <v>26</v>
      </c>
      <c r="J24" s="16" t="str">
        <f t="shared" si="3"/>
        <v>Standard Price</v>
      </c>
    </row>
    <row r="25" spans="1:10" ht="15.75" customHeight="1" x14ac:dyDescent="0.25">
      <c r="A25" s="17" t="s">
        <v>67</v>
      </c>
      <c r="B25" s="17" t="str">
        <f t="shared" si="0"/>
        <v>21</v>
      </c>
      <c r="C25" s="17" t="str">
        <f t="shared" si="1"/>
        <v>CA</v>
      </c>
      <c r="D25" s="17" t="str">
        <f t="shared" si="2"/>
        <v>AUG-CA</v>
      </c>
      <c r="E25" s="17" t="s">
        <v>68</v>
      </c>
      <c r="F25" s="17" t="s">
        <v>69</v>
      </c>
      <c r="G25" s="17">
        <v>50</v>
      </c>
      <c r="H25" s="17">
        <v>35</v>
      </c>
      <c r="I25" s="17" t="s">
        <v>70</v>
      </c>
      <c r="J25" s="17" t="str">
        <f t="shared" si="3"/>
        <v>Standard Price</v>
      </c>
    </row>
    <row r="26" spans="1:10" ht="15.75" customHeight="1" x14ac:dyDescent="0.25">
      <c r="A26" s="16" t="s">
        <v>90</v>
      </c>
      <c r="B26" s="16" t="str">
        <f t="shared" si="0"/>
        <v>29</v>
      </c>
      <c r="C26" s="16" t="str">
        <f t="shared" si="1"/>
        <v>CA</v>
      </c>
      <c r="D26" s="16" t="str">
        <f t="shared" si="2"/>
        <v>SEP-CA</v>
      </c>
      <c r="E26" s="16" t="s">
        <v>36</v>
      </c>
      <c r="F26" s="16" t="s">
        <v>91</v>
      </c>
      <c r="G26" s="16">
        <v>800</v>
      </c>
      <c r="H26" s="16">
        <v>45</v>
      </c>
      <c r="I26" s="16" t="s">
        <v>26</v>
      </c>
      <c r="J26" s="16" t="str">
        <f t="shared" si="3"/>
        <v>High Price</v>
      </c>
    </row>
    <row r="27" spans="1:10" ht="15.75" customHeight="1" x14ac:dyDescent="0.25">
      <c r="A27" s="17" t="s">
        <v>92</v>
      </c>
      <c r="B27" s="17" t="str">
        <f t="shared" si="0"/>
        <v>03</v>
      </c>
      <c r="C27" s="17" t="str">
        <f t="shared" si="1"/>
        <v>CA</v>
      </c>
      <c r="D27" s="17" t="str">
        <f t="shared" si="2"/>
        <v>JUN-CA</v>
      </c>
      <c r="E27" s="17" t="s">
        <v>76</v>
      </c>
      <c r="F27" s="17" t="s">
        <v>93</v>
      </c>
      <c r="G27" s="17">
        <v>130</v>
      </c>
      <c r="H27" s="17">
        <v>25</v>
      </c>
      <c r="I27" s="17" t="s">
        <v>30</v>
      </c>
      <c r="J27" s="17" t="str">
        <f t="shared" si="3"/>
        <v>Standard Price</v>
      </c>
    </row>
    <row r="28" spans="1:10" ht="15.75" customHeight="1" x14ac:dyDescent="0.25">
      <c r="A28" s="16" t="s">
        <v>94</v>
      </c>
      <c r="B28" s="16" t="str">
        <f t="shared" si="0"/>
        <v>11</v>
      </c>
      <c r="C28" s="16" t="str">
        <f t="shared" si="1"/>
        <v>CA</v>
      </c>
      <c r="D28" s="16" t="str">
        <f t="shared" si="2"/>
        <v>JUL-CA</v>
      </c>
      <c r="E28" s="16" t="s">
        <v>49</v>
      </c>
      <c r="F28" s="16" t="s">
        <v>95</v>
      </c>
      <c r="G28" s="16">
        <v>400</v>
      </c>
      <c r="H28" s="16">
        <v>40</v>
      </c>
      <c r="I28" s="16" t="s">
        <v>34</v>
      </c>
      <c r="J28" s="16" t="str">
        <f t="shared" si="3"/>
        <v>Standard Price</v>
      </c>
    </row>
    <row r="29" spans="1:10" ht="15.75" customHeight="1" x14ac:dyDescent="0.25">
      <c r="A29" s="17" t="s">
        <v>65</v>
      </c>
      <c r="B29" s="17" t="str">
        <f t="shared" si="0"/>
        <v>16</v>
      </c>
      <c r="C29" s="17" t="str">
        <f t="shared" si="1"/>
        <v>ES</v>
      </c>
      <c r="D29" s="17" t="str">
        <f t="shared" si="2"/>
        <v>APR-ES</v>
      </c>
      <c r="E29" s="17" t="s">
        <v>43</v>
      </c>
      <c r="F29" s="17" t="s">
        <v>66</v>
      </c>
      <c r="G29" s="17">
        <v>230</v>
      </c>
      <c r="H29" s="17">
        <v>20</v>
      </c>
      <c r="I29" s="17" t="s">
        <v>26</v>
      </c>
      <c r="J29" s="17" t="str">
        <f t="shared" si="3"/>
        <v>Standard Price</v>
      </c>
    </row>
    <row r="30" spans="1:10" ht="15.75" customHeight="1" x14ac:dyDescent="0.25">
      <c r="A30" s="16" t="s">
        <v>96</v>
      </c>
      <c r="B30" s="16" t="str">
        <f t="shared" si="0"/>
        <v>07</v>
      </c>
      <c r="C30" s="16" t="str">
        <f t="shared" si="1"/>
        <v>CA</v>
      </c>
      <c r="D30" s="16" t="str">
        <f t="shared" si="2"/>
        <v>MAR-CA</v>
      </c>
      <c r="E30" s="16" t="s">
        <v>97</v>
      </c>
      <c r="F30" s="16" t="s">
        <v>98</v>
      </c>
      <c r="G30" s="16">
        <v>60</v>
      </c>
      <c r="H30" s="16">
        <v>30</v>
      </c>
      <c r="I30" s="16" t="s">
        <v>30</v>
      </c>
      <c r="J30" s="16" t="str">
        <f t="shared" si="3"/>
        <v>Standard Price</v>
      </c>
    </row>
    <row r="31" spans="1:10" ht="15.75" customHeight="1" x14ac:dyDescent="0.25">
      <c r="A31" s="17" t="s">
        <v>99</v>
      </c>
      <c r="B31" s="17" t="str">
        <f t="shared" si="0"/>
        <v>13</v>
      </c>
      <c r="C31" s="17" t="str">
        <f t="shared" si="1"/>
        <v>CA</v>
      </c>
      <c r="D31" s="17" t="str">
        <f t="shared" si="2"/>
        <v>APR-CA</v>
      </c>
      <c r="E31" s="17" t="s">
        <v>100</v>
      </c>
      <c r="F31" s="17" t="s">
        <v>101</v>
      </c>
      <c r="G31" s="17">
        <v>40</v>
      </c>
      <c r="H31" s="17">
        <v>10</v>
      </c>
      <c r="I31" s="17" t="s">
        <v>34</v>
      </c>
      <c r="J31" s="17" t="str">
        <f t="shared" si="3"/>
        <v>Standard Price</v>
      </c>
    </row>
    <row r="32" spans="1:10" ht="15.75" customHeight="1" x14ac:dyDescent="0.25">
      <c r="A32" s="16" t="s">
        <v>102</v>
      </c>
      <c r="B32" s="16" t="str">
        <f t="shared" si="0"/>
        <v>24</v>
      </c>
      <c r="C32" s="16" t="str">
        <f t="shared" si="1"/>
        <v>CA</v>
      </c>
      <c r="D32" s="16" t="str">
        <f t="shared" si="2"/>
        <v>MAY-CA</v>
      </c>
      <c r="E32" s="16" t="s">
        <v>88</v>
      </c>
      <c r="F32" s="16" t="s">
        <v>103</v>
      </c>
      <c r="G32" s="16">
        <v>130</v>
      </c>
      <c r="H32" s="16">
        <v>5</v>
      </c>
      <c r="I32" s="16" t="s">
        <v>26</v>
      </c>
      <c r="J32" s="16" t="str">
        <f t="shared" si="3"/>
        <v>Standard Price</v>
      </c>
    </row>
    <row r="33" spans="1:10" ht="15.75" customHeight="1" x14ac:dyDescent="0.25">
      <c r="A33" s="17" t="s">
        <v>104</v>
      </c>
      <c r="B33" s="17" t="str">
        <f t="shared" si="0"/>
        <v>02</v>
      </c>
      <c r="C33" s="17" t="str">
        <f t="shared" si="1"/>
        <v>CA</v>
      </c>
      <c r="D33" s="17" t="str">
        <f t="shared" si="2"/>
        <v>DEC-CA</v>
      </c>
      <c r="E33" s="17" t="s">
        <v>105</v>
      </c>
      <c r="F33" s="17" t="s">
        <v>106</v>
      </c>
      <c r="G33" s="17">
        <v>50</v>
      </c>
      <c r="H33" s="17">
        <v>50</v>
      </c>
      <c r="I33" s="17" t="s">
        <v>30</v>
      </c>
      <c r="J33" s="17" t="str">
        <f t="shared" si="3"/>
        <v>Standard Price</v>
      </c>
    </row>
    <row r="34" spans="1:10" ht="15.75" customHeight="1" x14ac:dyDescent="0.25">
      <c r="A34" s="16" t="s">
        <v>57</v>
      </c>
      <c r="B34" s="16" t="str">
        <f t="shared" si="0"/>
        <v>17</v>
      </c>
      <c r="C34" s="16" t="str">
        <f t="shared" si="1"/>
        <v>IN</v>
      </c>
      <c r="D34" s="16" t="str">
        <f t="shared" si="2"/>
        <v>JUN-IN</v>
      </c>
      <c r="E34" s="16" t="s">
        <v>24</v>
      </c>
      <c r="F34" s="16" t="s">
        <v>58</v>
      </c>
      <c r="G34" s="16">
        <v>950</v>
      </c>
      <c r="H34" s="16">
        <v>25</v>
      </c>
      <c r="I34" s="16" t="s">
        <v>26</v>
      </c>
      <c r="J34" s="16" t="str">
        <f t="shared" si="3"/>
        <v>High Price</v>
      </c>
    </row>
    <row r="35" spans="1:10" ht="15.75" customHeight="1" x14ac:dyDescent="0.25">
      <c r="A35" s="17" t="s">
        <v>107</v>
      </c>
      <c r="B35" s="17" t="str">
        <f t="shared" si="0"/>
        <v>09</v>
      </c>
      <c r="C35" s="17" t="str">
        <f t="shared" si="1"/>
        <v>FR</v>
      </c>
      <c r="D35" s="17" t="str">
        <f t="shared" si="2"/>
        <v>JUL-FR</v>
      </c>
      <c r="E35" s="17" t="s">
        <v>108</v>
      </c>
      <c r="F35" s="17" t="s">
        <v>109</v>
      </c>
      <c r="G35" s="17">
        <v>100</v>
      </c>
      <c r="H35" s="17">
        <v>20</v>
      </c>
      <c r="I35" s="17" t="s">
        <v>70</v>
      </c>
      <c r="J35" s="17" t="str">
        <f t="shared" si="3"/>
        <v>Standard Price</v>
      </c>
    </row>
    <row r="36" spans="1:10" ht="15.75" customHeight="1" x14ac:dyDescent="0.3">
      <c r="B36" t="str">
        <f t="shared" si="0"/>
        <v/>
      </c>
      <c r="C36" t="str">
        <f t="shared" si="1"/>
        <v/>
      </c>
      <c r="D36" t="str">
        <f t="shared" si="2"/>
        <v/>
      </c>
      <c r="F36" s="13" t="s">
        <v>113</v>
      </c>
      <c r="G36" s="14">
        <f>SUM(G2:G35)</f>
        <v>10100</v>
      </c>
    </row>
    <row r="37" spans="1:10" ht="15.75" customHeight="1" x14ac:dyDescent="0.3">
      <c r="B37" t="str">
        <f t="shared" si="0"/>
        <v/>
      </c>
      <c r="C37" t="str">
        <f t="shared" si="1"/>
        <v/>
      </c>
      <c r="D37" t="str">
        <f t="shared" si="2"/>
        <v/>
      </c>
      <c r="F37" s="6" t="s">
        <v>114</v>
      </c>
      <c r="G37" s="5">
        <f>COUNT(G2:G35)</f>
        <v>34</v>
      </c>
    </row>
    <row r="38" spans="1:10" ht="15.75" customHeight="1" x14ac:dyDescent="0.3">
      <c r="B38" t="str">
        <f t="shared" si="0"/>
        <v/>
      </c>
      <c r="C38" t="str">
        <f t="shared" si="1"/>
        <v/>
      </c>
      <c r="D38" t="str">
        <f t="shared" si="2"/>
        <v/>
      </c>
      <c r="F38" s="6" t="s">
        <v>115</v>
      </c>
      <c r="G38" s="8">
        <f>AVERAGE(G2:G35)</f>
        <v>297.05882352941177</v>
      </c>
    </row>
    <row r="39" spans="1:10" ht="15.75" customHeight="1" x14ac:dyDescent="0.3">
      <c r="B39" t="str">
        <f t="shared" si="0"/>
        <v/>
      </c>
      <c r="C39" t="str">
        <f t="shared" si="1"/>
        <v/>
      </c>
      <c r="D39" t="str">
        <f t="shared" si="2"/>
        <v/>
      </c>
      <c r="F39" s="6" t="s">
        <v>110</v>
      </c>
      <c r="G39" s="5">
        <f>MIN(G2:G35)</f>
        <v>30</v>
      </c>
    </row>
    <row r="40" spans="1:10" ht="15.75" customHeight="1" x14ac:dyDescent="0.3">
      <c r="B40" t="str">
        <f t="shared" si="0"/>
        <v/>
      </c>
      <c r="C40" t="str">
        <f t="shared" si="1"/>
        <v/>
      </c>
      <c r="D40" t="str">
        <f t="shared" si="2"/>
        <v/>
      </c>
      <c r="F40" s="12" t="s">
        <v>111</v>
      </c>
      <c r="G40" s="5">
        <f>MAX(G2:G35)</f>
        <v>1000</v>
      </c>
    </row>
    <row r="41" spans="1:10" ht="15.75" customHeight="1" x14ac:dyDescent="0.3">
      <c r="B41" t="str">
        <f t="shared" si="0"/>
        <v/>
      </c>
      <c r="C41" t="str">
        <f t="shared" si="1"/>
        <v/>
      </c>
      <c r="D41" t="str">
        <f t="shared" si="2"/>
        <v/>
      </c>
      <c r="F41" s="12" t="s">
        <v>116</v>
      </c>
      <c r="G41" s="5">
        <f>SUMIF(I2:I35,"Electronics",G2:G35)</f>
        <v>8050</v>
      </c>
    </row>
    <row r="42" spans="1:10" ht="15.75" customHeight="1" x14ac:dyDescent="0.3">
      <c r="B42" t="str">
        <f t="shared" si="0"/>
        <v/>
      </c>
      <c r="C42" t="str">
        <f t="shared" si="1"/>
        <v/>
      </c>
      <c r="D42" t="str">
        <f t="shared" si="2"/>
        <v/>
      </c>
      <c r="F42" s="12" t="s">
        <v>117</v>
      </c>
      <c r="G42" s="5">
        <f>COUNTIF(G2:G35,"&lt;100")</f>
        <v>11</v>
      </c>
    </row>
    <row r="43" spans="1:10" ht="15.75" customHeight="1" x14ac:dyDescent="0.3">
      <c r="F43" s="7"/>
      <c r="G43" s="5"/>
    </row>
    <row r="44" spans="1:10" ht="15.75" customHeight="1" x14ac:dyDescent="0.3">
      <c r="F44" s="7"/>
      <c r="G44" s="5"/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2026-04-07T15:49:44Z</dcterms:created>
  <dcterms:modified xsi:type="dcterms:W3CDTF">2026-04-07T16:38:00Z</dcterms:modified>
</cp:coreProperties>
</file>