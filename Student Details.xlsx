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0A619B74-8FB6-451B-ABF9-A34EA118395F}" xr6:coauthVersionLast="36" xr6:coauthVersionMax="47" xr10:uidLastSave="{00000000-0000-0000-0000-000000000000}"/>
  <bookViews>
    <workbookView xWindow="0" yWindow="0" windowWidth="19200" windowHeight="6810" activeTab="1" xr2:uid="{43285A16-91C4-4F96-992B-06C61C922AAE}"/>
  </bookViews>
  <sheets>
    <sheet name="Student Data" sheetId="2" r:id="rId1"/>
    <sheet name="Sales " sheetId="4" r:id="rId2"/>
    <sheet name="Remarks" sheetId="3" r:id="rId3"/>
  </sheets>
  <calcPr calcId="191029"/>
</workbook>
</file>

<file path=xl/calcChain.xml><?xml version="1.0" encoding="utf-8"?>
<calcChain xmlns="http://schemas.openxmlformats.org/spreadsheetml/2006/main">
  <c r="F5" i="4" l="1"/>
  <c r="F7" i="4"/>
  <c r="F3" i="4"/>
  <c r="M4" i="2" l="1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3" i="2"/>
  <c r="G25" i="2" l="1"/>
  <c r="G24" i="2"/>
  <c r="K25" i="2"/>
  <c r="K24" i="2"/>
</calcChain>
</file>

<file path=xl/sharedStrings.xml><?xml version="1.0" encoding="utf-8"?>
<sst xmlns="http://schemas.openxmlformats.org/spreadsheetml/2006/main" count="128" uniqueCount="90">
  <si>
    <t>Sr. No.   </t>
  </si>
  <si>
    <t>Student Name</t>
  </si>
  <si>
    <t>Date of Birth  </t>
  </si>
  <si>
    <t>Gender</t>
  </si>
  <si>
    <t>Standard</t>
  </si>
  <si>
    <t>ABHISHEK</t>
  </si>
  <si>
    <t>BOY</t>
  </si>
  <si>
    <t>AMRITA KUMARI</t>
  </si>
  <si>
    <t>GIRL</t>
  </si>
  <si>
    <t>ARUSHI KUMARI</t>
  </si>
  <si>
    <t>BHUVANA M</t>
  </si>
  <si>
    <t>CHARITHYA A R</t>
  </si>
  <si>
    <t>DEEPIKA M</t>
  </si>
  <si>
    <t>DHARANI L</t>
  </si>
  <si>
    <t>GOPALRAO</t>
  </si>
  <si>
    <t>HARINI P</t>
  </si>
  <si>
    <t>KHUSHI KUMARI</t>
  </si>
  <si>
    <t>M VASANTHA KUMAR</t>
  </si>
  <si>
    <t>MOUNESH</t>
  </si>
  <si>
    <t>MUTTAPPA</t>
  </si>
  <si>
    <t>NIRUPAM BALA</t>
  </si>
  <si>
    <t>PIYUSH KUMAR</t>
  </si>
  <si>
    <t>PRADEEP</t>
  </si>
  <si>
    <t>RITHIKSHA T</t>
  </si>
  <si>
    <t>SHAKTI D</t>
  </si>
  <si>
    <t>TANVITHA</t>
  </si>
  <si>
    <t>THEJASHREE V</t>
  </si>
  <si>
    <t>VISHWARADHYA</t>
  </si>
  <si>
    <t>Attendance 
Percentage</t>
  </si>
  <si>
    <t>Enrollment Code</t>
  </si>
  <si>
    <t>267 093 58</t>
  </si>
  <si>
    <t>267 094 43</t>
  </si>
  <si>
    <t>267 092 42</t>
  </si>
  <si>
    <t>267 091 64</t>
  </si>
  <si>
    <t>267 085 21</t>
  </si>
  <si>
    <t>267 090 33</t>
  </si>
  <si>
    <t>267 075 34</t>
  </si>
  <si>
    <t>270 016 34</t>
  </si>
  <si>
    <t>267 080 13</t>
  </si>
  <si>
    <t>267 087 94</t>
  </si>
  <si>
    <t>267 082 06</t>
  </si>
  <si>
    <t>267 078 36</t>
  </si>
  <si>
    <t>267 073 27</t>
  </si>
  <si>
    <t>267 071 61</t>
  </si>
  <si>
    <t>267 086 57</t>
  </si>
  <si>
    <t>273 737 31</t>
  </si>
  <si>
    <t>267 965 98</t>
  </si>
  <si>
    <t>267 095 30</t>
  </si>
  <si>
    <t>267 083 65</t>
  </si>
  <si>
    <t>267 069 82</t>
  </si>
  <si>
    <t>267 089 04</t>
  </si>
  <si>
    <t>Language I</t>
  </si>
  <si>
    <t>Language II</t>
  </si>
  <si>
    <t>Total</t>
  </si>
  <si>
    <t>Maths</t>
  </si>
  <si>
    <t>Sl.No</t>
  </si>
  <si>
    <t>Pre-Learning session</t>
  </si>
  <si>
    <t>Session3</t>
  </si>
  <si>
    <t>Excel Formula's</t>
  </si>
  <si>
    <t>Sum()</t>
  </si>
  <si>
    <t>Min()</t>
  </si>
  <si>
    <t>Max()</t>
  </si>
  <si>
    <t>Count()</t>
  </si>
  <si>
    <t>Average()</t>
  </si>
  <si>
    <t>if()</t>
  </si>
  <si>
    <t>Sumif()</t>
  </si>
  <si>
    <t>Countif()</t>
  </si>
  <si>
    <t>Averageif()</t>
  </si>
  <si>
    <t>Formatting text using right(), left(), mid(), upper(), lower(), proper()</t>
  </si>
  <si>
    <t>Task Detail</t>
  </si>
  <si>
    <t>Total marks per student and overall total have been calculated</t>
  </si>
  <si>
    <t>Min ()</t>
  </si>
  <si>
    <t>Max ()</t>
  </si>
  <si>
    <t>I have checked the minimum total</t>
  </si>
  <si>
    <t>I have checked the maximum total.</t>
  </si>
  <si>
    <t>I have checked the Toal Number Students</t>
  </si>
  <si>
    <t>Count ()</t>
  </si>
  <si>
    <t>Average ()</t>
  </si>
  <si>
    <t>I have calculated the average attendance of the students.</t>
  </si>
  <si>
    <t>If ()</t>
  </si>
  <si>
    <t>Product</t>
  </si>
  <si>
    <t>Apple</t>
  </si>
  <si>
    <t>Orange</t>
  </si>
  <si>
    <t>Banana</t>
  </si>
  <si>
    <t>Sales</t>
  </si>
  <si>
    <t>Total Apple Sales</t>
  </si>
  <si>
    <t>Average Orange Sales</t>
  </si>
  <si>
    <t>Banana Count</t>
  </si>
  <si>
    <t>Sheet Name</t>
  </si>
  <si>
    <t>Student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</si>
</sst>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9D55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6" tint="0.59999389629810485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7">
    <xf numFmtId="0" fontId="0" fillId="0" borderId="0" xfId="0"/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left" vertical="center" wrapText="1"/>
    </xf>
    <xf numFmtId="0" fontId="0" fillId="0" borderId="13" xfId="0" applyBorder="1"/>
    <xf numFmtId="0" fontId="0" fillId="0" borderId="0" xfId="0" applyAlignment="1">
      <alignment vertical="center"/>
    </xf>
    <xf numFmtId="0" fontId="0" fillId="0" borderId="10" xfId="0" applyBorder="1" applyAlignment="1">
      <alignment vertical="center" wrapText="1"/>
    </xf>
    <xf numFmtId="14" fontId="0" fillId="0" borderId="10" xfId="0" applyNumberForma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14" fontId="0" fillId="0" borderId="15" xfId="0" applyNumberFormat="1" applyBorder="1" applyAlignment="1">
      <alignment horizontal="left" vertical="center" wrapText="1"/>
    </xf>
    <xf numFmtId="0" fontId="0" fillId="0" borderId="0" xfId="0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vertical="center"/>
    </xf>
    <xf numFmtId="0" fontId="18" fillId="34" borderId="13" xfId="0" applyFont="1" applyFill="1" applyBorder="1" applyAlignment="1">
      <alignment horizontal="center" vertical="center"/>
    </xf>
    <xf numFmtId="0" fontId="18" fillId="35" borderId="13" xfId="0" applyFont="1" applyFill="1" applyBorder="1" applyAlignment="1">
      <alignment horizontal="center" vertical="center"/>
    </xf>
    <xf numFmtId="0" fontId="18" fillId="36" borderId="13" xfId="0" applyFont="1" applyFill="1" applyBorder="1" applyAlignment="1">
      <alignment horizontal="center" vertical="center"/>
    </xf>
    <xf numFmtId="0" fontId="18" fillId="37" borderId="13" xfId="0" applyFont="1" applyFill="1" applyBorder="1" applyAlignment="1">
      <alignment horizontal="center" vertical="center"/>
    </xf>
    <xf numFmtId="1" fontId="18" fillId="37" borderId="13" xfId="0" applyNumberFormat="1" applyFont="1" applyFill="1" applyBorder="1" applyAlignment="1">
      <alignment horizontal="center" vertical="center"/>
    </xf>
    <xf numFmtId="0" fontId="0" fillId="33" borderId="13" xfId="0" applyFill="1" applyBorder="1"/>
    <xf numFmtId="0" fontId="0" fillId="34" borderId="13" xfId="0" applyFill="1" applyBorder="1"/>
    <xf numFmtId="0" fontId="0" fillId="35" borderId="13" xfId="0" applyFill="1" applyBorder="1"/>
    <xf numFmtId="0" fontId="0" fillId="36" borderId="13" xfId="0" applyFill="1" applyBorder="1"/>
    <xf numFmtId="0" fontId="0" fillId="37" borderId="13" xfId="0" applyFill="1" applyBorder="1"/>
    <xf numFmtId="0" fontId="0" fillId="39" borderId="13" xfId="0" applyFill="1" applyBorder="1" applyAlignment="1">
      <alignment horizontal="center" vertical="center"/>
    </xf>
    <xf numFmtId="0" fontId="16" fillId="0" borderId="13" xfId="0" applyFont="1" applyBorder="1"/>
    <xf numFmtId="0" fontId="16" fillId="0" borderId="1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33" borderId="13" xfId="0" applyFont="1" applyFill="1" applyBorder="1"/>
    <xf numFmtId="0" fontId="16" fillId="34" borderId="13" xfId="0" applyFont="1" applyFill="1" applyBorder="1"/>
    <xf numFmtId="0" fontId="16" fillId="35" borderId="13" xfId="0" applyFont="1" applyFill="1" applyBorder="1"/>
    <xf numFmtId="0" fontId="16" fillId="36" borderId="13" xfId="0" applyFont="1" applyFill="1" applyBorder="1"/>
    <xf numFmtId="0" fontId="16" fillId="37" borderId="13" xfId="0" applyFont="1" applyFill="1" applyBorder="1"/>
    <xf numFmtId="0" fontId="16" fillId="39" borderId="13" xfId="0" applyFont="1" applyFill="1" applyBorder="1"/>
    <xf numFmtId="0" fontId="18" fillId="39" borderId="13" xfId="0" applyFont="1" applyFill="1" applyBorder="1" applyAlignment="1">
      <alignment horizontal="center" vertical="center"/>
    </xf>
    <xf numFmtId="0" fontId="0" fillId="33" borderId="16" xfId="0" applyFill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8" fillId="34" borderId="17" xfId="0" applyFont="1" applyFill="1" applyBorder="1" applyAlignment="1">
      <alignment horizontal="center" vertical="center"/>
    </xf>
    <xf numFmtId="0" fontId="18" fillId="35" borderId="13" xfId="0" applyFont="1" applyFill="1" applyBorder="1" applyAlignment="1">
      <alignment horizontal="center" vertical="center"/>
    </xf>
    <xf numFmtId="0" fontId="18" fillId="38" borderId="16" xfId="0" applyFont="1" applyFill="1" applyBorder="1" applyAlignment="1">
      <alignment horizontal="center" vertical="center"/>
    </xf>
    <xf numFmtId="0" fontId="19" fillId="40" borderId="13" xfId="0" applyFont="1" applyFill="1" applyBorder="1"/>
    <xf numFmtId="0" fontId="19" fillId="40" borderId="13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vertical="center"/>
    </xf>
    <xf numFmtId="0" fontId="16" fillId="41" borderId="13" xfId="0" applyFont="1" applyFill="1" applyBorder="1"/>
    <xf numFmtId="0" fontId="0" fillId="41" borderId="13" xfId="0" applyFill="1" applyBorder="1"/>
    <xf numFmtId="0" fontId="16" fillId="42" borderId="13" xfId="0" applyFont="1" applyFill="1" applyBorder="1"/>
    <xf numFmtId="0" fontId="0" fillId="42" borderId="13" xfId="0" applyFill="1" applyBorder="1"/>
    <xf numFmtId="0" fontId="0" fillId="41" borderId="0" xfId="0" applyFill="1"/>
    <xf numFmtId="2" fontId="0" fillId="41" borderId="13" xfId="0" applyNumberFormat="1" applyFill="1" applyBorder="1"/>
    <xf numFmtId="0" fontId="18" fillId="0" borderId="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9" formatCode="dd/mm/yyyy"/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indexed="64"/>
        </right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9999FF"/>
      <color rgb="FFFFCCFF"/>
      <color rgb="FFF9D5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3F6A46-4932-406B-BF5A-AB563C5C46EC}" name="Table2" displayName="Table2" ref="A1:K23" totalsRowShown="0" headerRowDxfId="13" dataDxfId="12" tableBorderDxfId="11">
  <tableColumns count="11">
    <tableColumn id="1" xr3:uid="{F34633FF-0C49-4BEA-B0ED-AC052F73DFBB}" name="Sr. No.   " dataDxfId="10"/>
    <tableColumn id="2" xr3:uid="{701A10C7-30D0-4CD6-8A63-84832642D72D}" name="Enrollment Code" dataDxfId="9"/>
    <tableColumn id="3" xr3:uid="{35D1133E-18F1-45E5-A2BD-7D974FAC9CAD}" name="Student Name" dataDxfId="8"/>
    <tableColumn id="4" xr3:uid="{1C929B91-0698-4FA0-8FC9-1706BD93F606}" name="Date of Birth  " dataDxfId="7"/>
    <tableColumn id="5" xr3:uid="{A084BC32-3EEB-45E8-A921-CCB9F2730EF8}" name="Gender" dataDxfId="6"/>
    <tableColumn id="6" xr3:uid="{BFB67E11-15F9-4E31-9EFA-E97C43A033EB}" name="Standard" dataDxfId="5"/>
    <tableColumn id="7" xr3:uid="{0C2EFB31-5C52-4065-A038-758A4DA09173}" name="Attendance _x000a_Percentage" dataDxfId="4"/>
    <tableColumn id="8" xr3:uid="{E6E0309C-8638-4D6E-8A96-C44CF719D585}" name="Language I" dataDxfId="3"/>
    <tableColumn id="9" xr3:uid="{1590A2A4-9370-4D4C-A8D0-0FFBE44F5F6C}" name="Language II" dataDxfId="2"/>
    <tableColumn id="10" xr3:uid="{DF387314-7C4F-48B2-9377-58F2B4FAB08B}" name="Maths" dataDxfId="1"/>
    <tableColumn id="11" xr3:uid="{30F1BCF2-40C3-4903-8A61-0CC7984C5D4C}" name="Total" dataDxfId="0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537F3-D293-4175-B7A7-7D6748C09AA8}">
  <dimension ref="A1:N38"/>
  <sheetViews>
    <sheetView topLeftCell="E6" workbookViewId="0">
      <selection activeCell="K9" sqref="K9"/>
    </sheetView>
  </sheetViews>
  <sheetFormatPr defaultColWidth="9.1640625" defaultRowHeight="14"/>
  <cols>
    <col min="1" max="1" width="10.4140625" style="6" customWidth="1"/>
    <col min="2" max="2" width="18.4140625" style="6" customWidth="1"/>
    <col min="3" max="3" width="25.1640625" style="6" customWidth="1"/>
    <col min="4" max="4" width="16.58203125" style="17" customWidth="1"/>
    <col min="5" max="5" width="9.83203125" style="17" customWidth="1"/>
    <col min="6" max="6" width="18" style="18" customWidth="1"/>
    <col min="7" max="9" width="14.1640625" style="18" customWidth="1"/>
    <col min="10" max="10" width="12.1640625" style="18" customWidth="1"/>
    <col min="11" max="11" width="15" style="6" customWidth="1"/>
    <col min="12" max="12" width="9.4140625" style="6" customWidth="1"/>
    <col min="13" max="13" width="14" style="6" customWidth="1"/>
    <col min="14" max="14" width="16.83203125" style="6" customWidth="1"/>
    <col min="15" max="16384" width="9.1640625" style="6"/>
  </cols>
  <sheetData>
    <row r="1" spans="1:14" ht="36.75" customHeight="1">
      <c r="A1" s="42" t="s">
        <v>0</v>
      </c>
      <c r="B1" s="1" t="s">
        <v>29</v>
      </c>
      <c r="C1" s="1" t="s">
        <v>1</v>
      </c>
      <c r="D1" s="3" t="s">
        <v>2</v>
      </c>
      <c r="E1" s="3" t="s">
        <v>3</v>
      </c>
      <c r="F1" s="45" t="s">
        <v>4</v>
      </c>
      <c r="G1" s="46" t="s">
        <v>28</v>
      </c>
      <c r="H1" s="46" t="s">
        <v>51</v>
      </c>
      <c r="I1" s="46" t="s">
        <v>52</v>
      </c>
      <c r="J1" s="46" t="s">
        <v>54</v>
      </c>
      <c r="K1" s="49" t="s">
        <v>53</v>
      </c>
    </row>
    <row r="2" spans="1:14" ht="15" customHeight="1">
      <c r="A2" s="43"/>
      <c r="B2" s="2"/>
      <c r="C2" s="2"/>
      <c r="D2" s="4"/>
      <c r="E2" s="4"/>
      <c r="F2" s="47"/>
      <c r="G2" s="48"/>
      <c r="H2" s="48"/>
      <c r="I2" s="48"/>
      <c r="J2" s="48"/>
      <c r="K2" s="50"/>
      <c r="M2" s="40" t="s">
        <v>79</v>
      </c>
      <c r="N2" s="66"/>
    </row>
    <row r="3" spans="1:14" ht="15" customHeight="1">
      <c r="A3" s="44">
        <v>1</v>
      </c>
      <c r="B3" s="7" t="s">
        <v>30</v>
      </c>
      <c r="C3" s="7" t="s">
        <v>21</v>
      </c>
      <c r="D3" s="8">
        <v>43225</v>
      </c>
      <c r="E3" s="9" t="s">
        <v>6</v>
      </c>
      <c r="F3" s="10">
        <v>1</v>
      </c>
      <c r="G3" s="11">
        <v>80</v>
      </c>
      <c r="H3" s="11">
        <v>88</v>
      </c>
      <c r="I3" s="11">
        <v>78</v>
      </c>
      <c r="J3" s="11">
        <v>95</v>
      </c>
      <c r="K3" s="41">
        <v>261</v>
      </c>
      <c r="L3" s="54" t="s">
        <v>59</v>
      </c>
      <c r="M3" s="30" t="str">
        <f>IF(J3&gt;35,"Pass","Fail")</f>
        <v>Pass</v>
      </c>
      <c r="N3" s="59"/>
    </row>
    <row r="4" spans="1:14" ht="15" customHeight="1">
      <c r="A4" s="44">
        <v>2</v>
      </c>
      <c r="B4" s="7" t="s">
        <v>31</v>
      </c>
      <c r="C4" s="7" t="s">
        <v>22</v>
      </c>
      <c r="D4" s="8">
        <v>43630</v>
      </c>
      <c r="E4" s="9" t="s">
        <v>8</v>
      </c>
      <c r="F4" s="10">
        <v>1</v>
      </c>
      <c r="G4" s="11">
        <v>75</v>
      </c>
      <c r="H4" s="11">
        <v>87</v>
      </c>
      <c r="I4" s="11">
        <v>95</v>
      </c>
      <c r="J4" s="11">
        <v>86</v>
      </c>
      <c r="K4" s="41">
        <v>268</v>
      </c>
      <c r="L4" s="54"/>
      <c r="M4" s="30" t="str">
        <f t="shared" ref="M4:M23" si="0">IF(J4&gt;35,"Pass","Fail")</f>
        <v>Pass</v>
      </c>
      <c r="N4" s="59"/>
    </row>
    <row r="5" spans="1:14" ht="15" customHeight="1">
      <c r="A5" s="44">
        <v>3</v>
      </c>
      <c r="B5" s="7" t="s">
        <v>32</v>
      </c>
      <c r="C5" s="7" t="s">
        <v>23</v>
      </c>
      <c r="D5" s="8">
        <v>43802</v>
      </c>
      <c r="E5" s="9" t="s">
        <v>8</v>
      </c>
      <c r="F5" s="10">
        <v>1</v>
      </c>
      <c r="G5" s="11">
        <v>95</v>
      </c>
      <c r="H5" s="11">
        <v>95</v>
      </c>
      <c r="I5" s="11">
        <v>56</v>
      </c>
      <c r="J5" s="11">
        <v>75</v>
      </c>
      <c r="K5" s="41">
        <v>226</v>
      </c>
      <c r="L5" s="54"/>
      <c r="M5" s="30" t="str">
        <f t="shared" si="0"/>
        <v>Pass</v>
      </c>
      <c r="N5" s="59"/>
    </row>
    <row r="6" spans="1:14" ht="15" customHeight="1">
      <c r="A6" s="44">
        <v>4</v>
      </c>
      <c r="B6" s="7" t="s">
        <v>33</v>
      </c>
      <c r="C6" s="7" t="s">
        <v>24</v>
      </c>
      <c r="D6" s="8">
        <v>43579</v>
      </c>
      <c r="E6" s="9" t="s">
        <v>8</v>
      </c>
      <c r="F6" s="10">
        <v>1</v>
      </c>
      <c r="G6" s="11">
        <v>100</v>
      </c>
      <c r="H6" s="11">
        <v>85</v>
      </c>
      <c r="I6" s="11">
        <v>95</v>
      </c>
      <c r="J6" s="11">
        <v>65</v>
      </c>
      <c r="K6" s="41">
        <v>245</v>
      </c>
      <c r="L6" s="54"/>
      <c r="M6" s="30" t="str">
        <f t="shared" si="0"/>
        <v>Pass</v>
      </c>
      <c r="N6" s="59"/>
    </row>
    <row r="7" spans="1:14" ht="15" customHeight="1">
      <c r="A7" s="44">
        <v>5</v>
      </c>
      <c r="B7" s="7" t="s">
        <v>34</v>
      </c>
      <c r="C7" s="7" t="s">
        <v>25</v>
      </c>
      <c r="D7" s="8">
        <v>43779</v>
      </c>
      <c r="E7" s="9" t="s">
        <v>8</v>
      </c>
      <c r="F7" s="10">
        <v>1</v>
      </c>
      <c r="G7" s="11">
        <v>90</v>
      </c>
      <c r="H7" s="11">
        <v>78</v>
      </c>
      <c r="I7" s="11">
        <v>59</v>
      </c>
      <c r="J7" s="11">
        <v>38</v>
      </c>
      <c r="K7" s="41">
        <v>175</v>
      </c>
      <c r="L7" s="54"/>
      <c r="M7" s="30" t="str">
        <f t="shared" si="0"/>
        <v>Pass</v>
      </c>
      <c r="N7" s="59"/>
    </row>
    <row r="8" spans="1:14" ht="15" customHeight="1">
      <c r="A8" s="44">
        <v>6</v>
      </c>
      <c r="B8" s="7" t="s">
        <v>35</v>
      </c>
      <c r="C8" s="7" t="s">
        <v>26</v>
      </c>
      <c r="D8" s="8">
        <v>43733</v>
      </c>
      <c r="E8" s="9" t="s">
        <v>8</v>
      </c>
      <c r="F8" s="10">
        <v>1</v>
      </c>
      <c r="G8" s="11">
        <v>65</v>
      </c>
      <c r="H8" s="11">
        <v>71</v>
      </c>
      <c r="I8" s="11">
        <v>45</v>
      </c>
      <c r="J8" s="11">
        <v>69</v>
      </c>
      <c r="K8" s="41">
        <v>185</v>
      </c>
      <c r="L8" s="54"/>
      <c r="M8" s="30" t="str">
        <f t="shared" si="0"/>
        <v>Pass</v>
      </c>
      <c r="N8" s="59"/>
    </row>
    <row r="9" spans="1:14" ht="15" customHeight="1">
      <c r="A9" s="44">
        <v>7</v>
      </c>
      <c r="B9" s="7" t="s">
        <v>36</v>
      </c>
      <c r="C9" s="7" t="s">
        <v>27</v>
      </c>
      <c r="D9" s="8">
        <v>43580</v>
      </c>
      <c r="E9" s="9" t="s">
        <v>8</v>
      </c>
      <c r="F9" s="10">
        <v>1</v>
      </c>
      <c r="G9" s="11">
        <v>70</v>
      </c>
      <c r="H9" s="11">
        <v>68</v>
      </c>
      <c r="I9" s="11">
        <v>52</v>
      </c>
      <c r="J9" s="11">
        <v>56</v>
      </c>
      <c r="K9" s="41">
        <v>176</v>
      </c>
      <c r="L9" s="54"/>
      <c r="M9" s="30" t="str">
        <f t="shared" si="0"/>
        <v>Pass</v>
      </c>
      <c r="N9" s="59"/>
    </row>
    <row r="10" spans="1:14" ht="15" customHeight="1">
      <c r="A10" s="44">
        <v>8</v>
      </c>
      <c r="B10" s="7" t="s">
        <v>37</v>
      </c>
      <c r="C10" s="7" t="s">
        <v>5</v>
      </c>
      <c r="D10" s="8">
        <v>43721</v>
      </c>
      <c r="E10" s="9" t="s">
        <v>6</v>
      </c>
      <c r="F10" s="10">
        <v>1</v>
      </c>
      <c r="G10" s="11">
        <v>85</v>
      </c>
      <c r="H10" s="11">
        <v>35</v>
      </c>
      <c r="I10" s="11">
        <v>40</v>
      </c>
      <c r="J10" s="11">
        <v>42</v>
      </c>
      <c r="K10" s="41">
        <v>117</v>
      </c>
      <c r="L10" s="54"/>
      <c r="M10" s="30" t="str">
        <f t="shared" si="0"/>
        <v>Pass</v>
      </c>
      <c r="N10" s="59"/>
    </row>
    <row r="11" spans="1:14" ht="15" customHeight="1">
      <c r="A11" s="44">
        <v>9</v>
      </c>
      <c r="B11" s="7" t="s">
        <v>38</v>
      </c>
      <c r="C11" s="7" t="s">
        <v>7</v>
      </c>
      <c r="D11" s="8">
        <v>43622</v>
      </c>
      <c r="E11" s="9" t="s">
        <v>8</v>
      </c>
      <c r="F11" s="10">
        <v>1</v>
      </c>
      <c r="G11" s="11">
        <v>95</v>
      </c>
      <c r="H11" s="11">
        <v>51</v>
      </c>
      <c r="I11" s="11">
        <v>61</v>
      </c>
      <c r="J11" s="11">
        <v>35</v>
      </c>
      <c r="K11" s="41">
        <v>147</v>
      </c>
      <c r="L11" s="54"/>
      <c r="M11" s="30" t="str">
        <f t="shared" si="0"/>
        <v>Fail</v>
      </c>
      <c r="N11" s="59"/>
    </row>
    <row r="12" spans="1:14" ht="15" customHeight="1">
      <c r="A12" s="44">
        <v>10</v>
      </c>
      <c r="B12" s="7" t="s">
        <v>39</v>
      </c>
      <c r="C12" s="7" t="s">
        <v>9</v>
      </c>
      <c r="D12" s="8">
        <v>42912</v>
      </c>
      <c r="E12" s="9" t="s">
        <v>8</v>
      </c>
      <c r="F12" s="10">
        <v>1</v>
      </c>
      <c r="G12" s="11">
        <v>50</v>
      </c>
      <c r="H12" s="11">
        <v>35</v>
      </c>
      <c r="I12" s="11">
        <v>40</v>
      </c>
      <c r="J12" s="11">
        <v>21</v>
      </c>
      <c r="K12" s="41">
        <v>96</v>
      </c>
      <c r="L12" s="54"/>
      <c r="M12" s="30" t="str">
        <f t="shared" si="0"/>
        <v>Fail</v>
      </c>
      <c r="N12" s="59"/>
    </row>
    <row r="13" spans="1:14" ht="15" customHeight="1">
      <c r="A13" s="44">
        <v>11</v>
      </c>
      <c r="B13" s="7" t="s">
        <v>40</v>
      </c>
      <c r="C13" s="7" t="s">
        <v>10</v>
      </c>
      <c r="D13" s="8">
        <v>43811</v>
      </c>
      <c r="E13" s="9" t="s">
        <v>6</v>
      </c>
      <c r="F13" s="10">
        <v>1</v>
      </c>
      <c r="G13" s="11">
        <v>65</v>
      </c>
      <c r="H13" s="11">
        <v>75</v>
      </c>
      <c r="I13" s="11">
        <v>68</v>
      </c>
      <c r="J13" s="11">
        <v>88</v>
      </c>
      <c r="K13" s="41">
        <v>231</v>
      </c>
      <c r="L13" s="54"/>
      <c r="M13" s="30" t="str">
        <f t="shared" si="0"/>
        <v>Pass</v>
      </c>
      <c r="N13" s="59"/>
    </row>
    <row r="14" spans="1:14" ht="15" customHeight="1">
      <c r="A14" s="44">
        <v>12</v>
      </c>
      <c r="B14" s="7" t="s">
        <v>41</v>
      </c>
      <c r="C14" s="7" t="s">
        <v>11</v>
      </c>
      <c r="D14" s="8">
        <v>43417</v>
      </c>
      <c r="E14" s="9" t="s">
        <v>6</v>
      </c>
      <c r="F14" s="10">
        <v>1</v>
      </c>
      <c r="G14" s="11">
        <v>75</v>
      </c>
      <c r="H14" s="11">
        <v>56</v>
      </c>
      <c r="I14" s="11">
        <v>54</v>
      </c>
      <c r="J14" s="11">
        <v>51</v>
      </c>
      <c r="K14" s="41">
        <v>161</v>
      </c>
      <c r="L14" s="54"/>
      <c r="M14" s="30" t="str">
        <f t="shared" si="0"/>
        <v>Pass</v>
      </c>
      <c r="N14" s="59"/>
    </row>
    <row r="15" spans="1:14" ht="15" customHeight="1">
      <c r="A15" s="44">
        <v>13</v>
      </c>
      <c r="B15" s="7" t="s">
        <v>42</v>
      </c>
      <c r="C15" s="7" t="s">
        <v>12</v>
      </c>
      <c r="D15" s="8">
        <v>43400</v>
      </c>
      <c r="E15" s="9" t="s">
        <v>6</v>
      </c>
      <c r="F15" s="10">
        <v>1</v>
      </c>
      <c r="G15" s="11">
        <v>85</v>
      </c>
      <c r="H15" s="11">
        <v>39</v>
      </c>
      <c r="I15" s="11">
        <v>40</v>
      </c>
      <c r="J15" s="11">
        <v>43</v>
      </c>
      <c r="K15" s="41">
        <v>122</v>
      </c>
      <c r="L15" s="54"/>
      <c r="M15" s="30" t="str">
        <f t="shared" si="0"/>
        <v>Pass</v>
      </c>
      <c r="N15" s="59"/>
    </row>
    <row r="16" spans="1:14" ht="15" customHeight="1">
      <c r="A16" s="44">
        <v>14</v>
      </c>
      <c r="B16" s="7" t="s">
        <v>43</v>
      </c>
      <c r="C16" s="7" t="s">
        <v>13</v>
      </c>
      <c r="D16" s="8">
        <v>43004</v>
      </c>
      <c r="E16" s="9" t="s">
        <v>6</v>
      </c>
      <c r="F16" s="10">
        <v>1</v>
      </c>
      <c r="G16" s="11">
        <v>80</v>
      </c>
      <c r="H16" s="11">
        <v>40</v>
      </c>
      <c r="I16" s="11">
        <v>56</v>
      </c>
      <c r="J16" s="11">
        <v>18</v>
      </c>
      <c r="K16" s="41">
        <v>114</v>
      </c>
      <c r="L16" s="54"/>
      <c r="M16" s="30" t="str">
        <f t="shared" si="0"/>
        <v>Fail</v>
      </c>
      <c r="N16" s="59"/>
    </row>
    <row r="17" spans="1:14" ht="15" customHeight="1">
      <c r="A17" s="44">
        <v>15</v>
      </c>
      <c r="B17" s="7" t="s">
        <v>44</v>
      </c>
      <c r="C17" s="7" t="s">
        <v>14</v>
      </c>
      <c r="D17" s="8">
        <v>43691</v>
      </c>
      <c r="E17" s="9" t="s">
        <v>6</v>
      </c>
      <c r="F17" s="10">
        <v>1</v>
      </c>
      <c r="G17" s="11">
        <v>70</v>
      </c>
      <c r="H17" s="11">
        <v>65</v>
      </c>
      <c r="I17" s="11">
        <v>71</v>
      </c>
      <c r="J17" s="11">
        <v>68</v>
      </c>
      <c r="K17" s="41">
        <v>204</v>
      </c>
      <c r="L17" s="54"/>
      <c r="M17" s="30" t="str">
        <f t="shared" si="0"/>
        <v>Pass</v>
      </c>
      <c r="N17" s="59"/>
    </row>
    <row r="18" spans="1:14" ht="15" customHeight="1">
      <c r="A18" s="44">
        <v>16</v>
      </c>
      <c r="B18" s="7" t="s">
        <v>45</v>
      </c>
      <c r="C18" s="7" t="s">
        <v>15</v>
      </c>
      <c r="D18" s="8">
        <v>43286</v>
      </c>
      <c r="E18" s="9" t="s">
        <v>6</v>
      </c>
      <c r="F18" s="10">
        <v>1</v>
      </c>
      <c r="G18" s="11">
        <v>90</v>
      </c>
      <c r="H18" s="11">
        <v>52</v>
      </c>
      <c r="I18" s="11">
        <v>48</v>
      </c>
      <c r="J18" s="11">
        <v>23</v>
      </c>
      <c r="K18" s="41">
        <v>123</v>
      </c>
      <c r="L18" s="54"/>
      <c r="M18" s="30" t="str">
        <f t="shared" si="0"/>
        <v>Fail</v>
      </c>
      <c r="N18" s="59"/>
    </row>
    <row r="19" spans="1:14" ht="15" customHeight="1">
      <c r="A19" s="44">
        <v>17</v>
      </c>
      <c r="B19" s="7" t="s">
        <v>46</v>
      </c>
      <c r="C19" s="7" t="s">
        <v>16</v>
      </c>
      <c r="D19" s="8">
        <v>43383</v>
      </c>
      <c r="E19" s="9" t="s">
        <v>8</v>
      </c>
      <c r="F19" s="10">
        <v>1</v>
      </c>
      <c r="G19" s="11">
        <v>95</v>
      </c>
      <c r="H19" s="11">
        <v>69</v>
      </c>
      <c r="I19" s="11">
        <v>62</v>
      </c>
      <c r="J19" s="11">
        <v>89</v>
      </c>
      <c r="K19" s="41">
        <v>220</v>
      </c>
      <c r="L19" s="54"/>
      <c r="M19" s="30" t="str">
        <f t="shared" si="0"/>
        <v>Pass</v>
      </c>
      <c r="N19" s="59"/>
    </row>
    <row r="20" spans="1:14" ht="15" customHeight="1">
      <c r="A20" s="44">
        <v>18</v>
      </c>
      <c r="B20" s="7" t="s">
        <v>47</v>
      </c>
      <c r="C20" s="7" t="s">
        <v>17</v>
      </c>
      <c r="D20" s="8">
        <v>43473</v>
      </c>
      <c r="E20" s="9" t="s">
        <v>8</v>
      </c>
      <c r="F20" s="10">
        <v>1</v>
      </c>
      <c r="G20" s="11">
        <v>100</v>
      </c>
      <c r="H20" s="11">
        <v>68</v>
      </c>
      <c r="I20" s="11">
        <v>64</v>
      </c>
      <c r="J20" s="11">
        <v>79</v>
      </c>
      <c r="K20" s="41">
        <v>211</v>
      </c>
      <c r="L20" s="54"/>
      <c r="M20" s="30" t="str">
        <f t="shared" si="0"/>
        <v>Pass</v>
      </c>
      <c r="N20" s="59"/>
    </row>
    <row r="21" spans="1:14" ht="15" customHeight="1">
      <c r="A21" s="44">
        <v>19</v>
      </c>
      <c r="B21" s="7" t="s">
        <v>48</v>
      </c>
      <c r="C21" s="7" t="s">
        <v>18</v>
      </c>
      <c r="D21" s="8">
        <v>43520</v>
      </c>
      <c r="E21" s="9" t="s">
        <v>8</v>
      </c>
      <c r="F21" s="10">
        <v>1</v>
      </c>
      <c r="G21" s="11">
        <v>100</v>
      </c>
      <c r="H21" s="11">
        <v>62</v>
      </c>
      <c r="I21" s="11">
        <v>60</v>
      </c>
      <c r="J21" s="11">
        <v>59</v>
      </c>
      <c r="K21" s="41">
        <v>181</v>
      </c>
      <c r="L21" s="54"/>
      <c r="M21" s="30" t="str">
        <f t="shared" si="0"/>
        <v>Pass</v>
      </c>
      <c r="N21" s="59"/>
    </row>
    <row r="22" spans="1:14" ht="15" customHeight="1">
      <c r="A22" s="44">
        <v>20</v>
      </c>
      <c r="B22" s="7" t="s">
        <v>49</v>
      </c>
      <c r="C22" s="12" t="s">
        <v>19</v>
      </c>
      <c r="D22" s="8">
        <v>43521</v>
      </c>
      <c r="E22" s="9" t="s">
        <v>8</v>
      </c>
      <c r="F22" s="10">
        <v>1</v>
      </c>
      <c r="G22" s="11">
        <v>95</v>
      </c>
      <c r="H22" s="11">
        <v>65</v>
      </c>
      <c r="I22" s="11">
        <v>59</v>
      </c>
      <c r="J22" s="11">
        <v>64</v>
      </c>
      <c r="K22" s="41">
        <v>188</v>
      </c>
      <c r="L22" s="54"/>
      <c r="M22" s="30" t="str">
        <f t="shared" si="0"/>
        <v>Pass</v>
      </c>
      <c r="N22" s="59"/>
    </row>
    <row r="23" spans="1:14">
      <c r="A23" s="44">
        <v>21</v>
      </c>
      <c r="B23" s="13" t="s">
        <v>50</v>
      </c>
      <c r="C23" s="14" t="s">
        <v>20</v>
      </c>
      <c r="D23" s="15">
        <v>43604</v>
      </c>
      <c r="E23" s="9" t="s">
        <v>6</v>
      </c>
      <c r="F23" s="10">
        <v>1</v>
      </c>
      <c r="G23" s="11">
        <v>85</v>
      </c>
      <c r="H23" s="11">
        <v>82</v>
      </c>
      <c r="I23" s="11">
        <v>75</v>
      </c>
      <c r="J23" s="11">
        <v>85</v>
      </c>
      <c r="K23" s="41">
        <v>242</v>
      </c>
      <c r="L23" s="54"/>
      <c r="M23" s="30" t="str">
        <f t="shared" si="0"/>
        <v>Pass</v>
      </c>
      <c r="N23" s="59"/>
    </row>
    <row r="24" spans="1:14" ht="21" customHeight="1">
      <c r="F24" s="22" t="s">
        <v>76</v>
      </c>
      <c r="G24" s="22">
        <f>COUNT(A3:A23)</f>
        <v>21</v>
      </c>
      <c r="I24" s="51" t="s">
        <v>71</v>
      </c>
      <c r="J24" s="52"/>
      <c r="K24" s="20">
        <f>MIN(K3:K23)</f>
        <v>96</v>
      </c>
      <c r="N24" s="59"/>
    </row>
    <row r="25" spans="1:14" ht="20">
      <c r="C25" s="16"/>
      <c r="F25" s="23" t="s">
        <v>77</v>
      </c>
      <c r="G25" s="24">
        <f>AVERAGE(G3:G23)</f>
        <v>83.095238095238102</v>
      </c>
      <c r="I25" s="53" t="s">
        <v>72</v>
      </c>
      <c r="J25" s="53"/>
      <c r="K25" s="21">
        <f>MAX(K3:K23)</f>
        <v>268</v>
      </c>
      <c r="N25" s="59"/>
    </row>
    <row r="26" spans="1:14">
      <c r="C26" s="16"/>
      <c r="N26" s="59"/>
    </row>
    <row r="27" spans="1:14">
      <c r="C27" s="16"/>
      <c r="N27" s="59"/>
    </row>
    <row r="28" spans="1:14">
      <c r="C28" s="16"/>
      <c r="N28" s="59"/>
    </row>
    <row r="29" spans="1:14">
      <c r="C29" s="16"/>
      <c r="N29" s="59"/>
    </row>
    <row r="30" spans="1:14">
      <c r="C30" s="16"/>
    </row>
    <row r="31" spans="1:14">
      <c r="C31" s="16"/>
    </row>
    <row r="32" spans="1:14">
      <c r="C32" s="16"/>
    </row>
    <row r="33" spans="3:3">
      <c r="C33" s="16"/>
    </row>
    <row r="34" spans="3:3">
      <c r="C34" s="16"/>
    </row>
    <row r="35" spans="3:3">
      <c r="C35" s="16"/>
    </row>
    <row r="36" spans="3:3">
      <c r="C36" s="16"/>
    </row>
    <row r="37" spans="3:3">
      <c r="C37" s="16"/>
    </row>
    <row r="38" spans="3:3">
      <c r="C38" s="19"/>
    </row>
  </sheetData>
  <mergeCells count="3">
    <mergeCell ref="I24:J24"/>
    <mergeCell ref="I25:J25"/>
    <mergeCell ref="L3:L23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663AA-FF96-4D51-B218-C34E0C81DE5B}">
  <dimension ref="A1:F10"/>
  <sheetViews>
    <sheetView tabSelected="1" workbookViewId="0">
      <selection activeCell="F7" sqref="F7"/>
    </sheetView>
  </sheetViews>
  <sheetFormatPr defaultRowHeight="14"/>
  <cols>
    <col min="1" max="1" width="11.58203125" customWidth="1"/>
    <col min="2" max="2" width="8.6640625" style="58"/>
    <col min="4" max="4" width="13.5" customWidth="1"/>
    <col min="5" max="5" width="19.08203125" bestFit="1" customWidth="1"/>
  </cols>
  <sheetData>
    <row r="1" spans="1:6">
      <c r="A1" s="55" t="s">
        <v>80</v>
      </c>
      <c r="B1" s="56" t="s">
        <v>84</v>
      </c>
    </row>
    <row r="2" spans="1:6">
      <c r="A2" s="5" t="s">
        <v>81</v>
      </c>
      <c r="B2" s="57">
        <v>20</v>
      </c>
    </row>
    <row r="3" spans="1:6">
      <c r="A3" s="5" t="s">
        <v>82</v>
      </c>
      <c r="B3" s="57">
        <v>25</v>
      </c>
      <c r="D3" s="64" t="s">
        <v>65</v>
      </c>
      <c r="E3" s="61" t="s">
        <v>85</v>
      </c>
      <c r="F3" s="61">
        <f>SUMIF(A2:A10,"Apple",B2:B10)</f>
        <v>122</v>
      </c>
    </row>
    <row r="4" spans="1:6">
      <c r="A4" s="5" t="s">
        <v>83</v>
      </c>
      <c r="B4" s="57">
        <v>45</v>
      </c>
    </row>
    <row r="5" spans="1:6">
      <c r="A5" s="5" t="s">
        <v>81</v>
      </c>
      <c r="B5" s="57">
        <v>35</v>
      </c>
      <c r="D5" s="64" t="s">
        <v>67</v>
      </c>
      <c r="E5" s="61" t="s">
        <v>86</v>
      </c>
      <c r="F5" s="65">
        <f>AVERAGEIF(A2:A10,"Orange",B2:B10)</f>
        <v>49.333333333333336</v>
      </c>
    </row>
    <row r="6" spans="1:6">
      <c r="A6" s="5" t="s">
        <v>82</v>
      </c>
      <c r="B6" s="57">
        <v>80</v>
      </c>
    </row>
    <row r="7" spans="1:6">
      <c r="A7" s="5" t="s">
        <v>83</v>
      </c>
      <c r="B7" s="57">
        <v>43</v>
      </c>
      <c r="D7" s="64" t="s">
        <v>66</v>
      </c>
      <c r="E7" s="61" t="s">
        <v>87</v>
      </c>
      <c r="F7" s="61">
        <f>COUNTIF(A2:A10,"Banana")</f>
        <v>3</v>
      </c>
    </row>
    <row r="8" spans="1:6">
      <c r="A8" s="5" t="s">
        <v>81</v>
      </c>
      <c r="B8" s="57">
        <v>67</v>
      </c>
    </row>
    <row r="9" spans="1:6">
      <c r="A9" s="5" t="s">
        <v>82</v>
      </c>
      <c r="B9" s="57">
        <v>43</v>
      </c>
    </row>
    <row r="10" spans="1:6">
      <c r="A10" s="5" t="s">
        <v>83</v>
      </c>
      <c r="B10" s="57">
        <v>23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0D4AF-B9F9-45E5-AD70-3C873D2192DB}">
  <dimension ref="A1:E11"/>
  <sheetViews>
    <sheetView topLeftCell="B1" workbookViewId="0">
      <selection activeCell="C8" sqref="C8"/>
    </sheetView>
  </sheetViews>
  <sheetFormatPr defaultRowHeight="14"/>
  <cols>
    <col min="2" max="2" width="20.1640625" customWidth="1"/>
    <col min="3" max="3" width="61" bestFit="1" customWidth="1"/>
    <col min="4" max="4" width="12.1640625" customWidth="1"/>
    <col min="5" max="5" width="57" bestFit="1" customWidth="1"/>
  </cols>
  <sheetData>
    <row r="1" spans="1:5" s="33" customFormat="1">
      <c r="A1" s="32" t="s">
        <v>55</v>
      </c>
      <c r="B1" s="32" t="s">
        <v>56</v>
      </c>
      <c r="C1" s="32" t="s">
        <v>58</v>
      </c>
      <c r="D1" s="32" t="s">
        <v>88</v>
      </c>
      <c r="E1" s="32" t="s">
        <v>69</v>
      </c>
    </row>
    <row r="2" spans="1:5">
      <c r="A2" s="5">
        <v>1</v>
      </c>
      <c r="B2" s="5" t="s">
        <v>57</v>
      </c>
      <c r="C2" s="34" t="s">
        <v>59</v>
      </c>
      <c r="D2" s="34" t="s">
        <v>89</v>
      </c>
      <c r="E2" s="25" t="s">
        <v>70</v>
      </c>
    </row>
    <row r="3" spans="1:5">
      <c r="A3" s="5"/>
      <c r="B3" s="5"/>
      <c r="C3" s="35" t="s">
        <v>60</v>
      </c>
      <c r="D3" s="35" t="s">
        <v>89</v>
      </c>
      <c r="E3" s="26" t="s">
        <v>73</v>
      </c>
    </row>
    <row r="4" spans="1:5">
      <c r="A4" s="5"/>
      <c r="B4" s="5"/>
      <c r="C4" s="36" t="s">
        <v>61</v>
      </c>
      <c r="D4" s="36" t="s">
        <v>89</v>
      </c>
      <c r="E4" s="27" t="s">
        <v>74</v>
      </c>
    </row>
    <row r="5" spans="1:5">
      <c r="A5" s="5"/>
      <c r="B5" s="5"/>
      <c r="C5" s="37" t="s">
        <v>62</v>
      </c>
      <c r="D5" s="37" t="s">
        <v>89</v>
      </c>
      <c r="E5" s="28" t="s">
        <v>75</v>
      </c>
    </row>
    <row r="6" spans="1:5">
      <c r="A6" s="5"/>
      <c r="B6" s="5"/>
      <c r="C6" s="38" t="s">
        <v>63</v>
      </c>
      <c r="D6" s="38" t="s">
        <v>89</v>
      </c>
      <c r="E6" s="29" t="s">
        <v>78</v>
      </c>
    </row>
    <row r="7" spans="1:5">
      <c r="A7" s="5"/>
      <c r="B7" s="5"/>
      <c r="C7" s="62" t="s">
        <v>64</v>
      </c>
      <c r="D7" s="62" t="s">
        <v>89</v>
      </c>
      <c r="E7" s="63"/>
    </row>
    <row r="8" spans="1:5">
      <c r="A8" s="5"/>
      <c r="B8" s="5"/>
      <c r="C8" s="60" t="s">
        <v>65</v>
      </c>
      <c r="D8" s="60" t="s">
        <v>84</v>
      </c>
      <c r="E8" s="61"/>
    </row>
    <row r="9" spans="1:5">
      <c r="A9" s="5"/>
      <c r="B9" s="5"/>
      <c r="C9" s="60" t="s">
        <v>66</v>
      </c>
      <c r="D9" s="60" t="s">
        <v>84</v>
      </c>
      <c r="E9" s="61"/>
    </row>
    <row r="10" spans="1:5">
      <c r="A10" s="5"/>
      <c r="B10" s="5"/>
      <c r="C10" s="60" t="s">
        <v>67</v>
      </c>
      <c r="D10" s="60" t="s">
        <v>84</v>
      </c>
      <c r="E10" s="61"/>
    </row>
    <row r="11" spans="1:5">
      <c r="A11" s="5"/>
      <c r="B11" s="5"/>
      <c r="C11" s="31" t="s">
        <v>68</v>
      </c>
      <c r="D11" s="39" t="s">
        <v>84</v>
      </c>
      <c r="E1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Data</vt:lpstr>
      <vt:lpstr>Sales </vt:lpstr>
      <vt:lpstr>Remarks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 Infracon</dc:creator>
  <cp:lastModifiedBy>LENOVO</cp:lastModifiedBy>
  <dcterms:created xsi:type="dcterms:W3CDTF">2026-04-06T11:01:11Z</dcterms:created>
  <dcterms:modified xsi:type="dcterms:W3CDTF">2026-04-07T16:38:11Z</dcterms:modified>
</cp:coreProperties>
</file>